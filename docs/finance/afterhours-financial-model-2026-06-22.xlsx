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Users &amp; Growth" sheetId="3" state="visible" r:id="rId3"/>
    <sheet name="Revenue Model" sheetId="4" state="visible" r:id="rId4"/>
    <sheet name="Income Statement" sheetId="5" state="visible" r:id="rId5"/>
    <sheet name="Cash Flow" sheetId="6" state="visible" r:id="rId6"/>
    <sheet name="Balance Sheet" sheetId="7" state="visible" r:id="rId7"/>
    <sheet name="Unit Economics &amp; Break-Even" sheetId="8" state="visible" r:id="rId8"/>
    <sheet name="Financial Ratios" sheetId="9" state="visible" r:id="rId9"/>
    <sheet name="Cap 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"/>
    <numFmt numFmtId="166" formatCode="0.0"/>
    <numFmt numFmtId="167" formatCode="&quot;$&quot;#,##0"/>
    <numFmt numFmtId="168" formatCode="#,##0.00;(#,##0.00)"/>
    <numFmt numFmtId="169" formatCode="0.00&quot;x&quot;"/>
  </numFmts>
  <fonts count="11">
    <font>
      <name val="Calibri"/>
      <family val="2"/>
      <color theme="1"/>
      <sz val="11"/>
      <scheme val="minor"/>
    </font>
    <font>
      <name val="Calibri"/>
      <b val="1"/>
      <color rgb="FF000000"/>
      <sz val="12"/>
    </font>
    <font>
      <name val="Calibri"/>
      <i val="1"/>
      <color rgb="FF595959"/>
      <sz val="9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color rgb="FF0000FF"/>
      <sz val="10"/>
    </font>
    <font>
      <name val="Calibri"/>
      <i val="1"/>
      <color rgb="FF595959"/>
      <sz val="10"/>
    </font>
    <font>
      <name val="Calibri"/>
      <b val="1"/>
      <sz val="10"/>
    </font>
    <font>
      <name val="Calibri"/>
      <color rgb="FF006100"/>
      <sz val="10"/>
    </font>
    <font>
      <name val="Calibri"/>
      <b val="1"/>
      <color rgb="FF006100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bottom style="thin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bottom style="hair">
        <color rgb="FF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" fontId="5" fillId="0" borderId="2" pivotButton="0" quotePrefix="0" xfId="0"/>
    <xf numFmtId="164" fontId="5" fillId="0" borderId="2" pivotButton="0" quotePrefix="0" xfId="0"/>
    <xf numFmtId="2" fontId="5" fillId="0" borderId="2" pivotButton="0" quotePrefix="0" xfId="0"/>
    <xf numFmtId="165" fontId="4" fillId="0" borderId="2" pivotButton="0" quotePrefix="0" xfId="0"/>
    <xf numFmtId="165" fontId="5" fillId="0" borderId="2" pivotButton="0" quotePrefix="0" xfId="0"/>
    <xf numFmtId="166" fontId="5" fillId="0" borderId="2" pivotButton="0" quotePrefix="0" xfId="0"/>
    <xf numFmtId="167" fontId="5" fillId="0" borderId="2" pivotButton="0" quotePrefix="0" xfId="0"/>
    <xf numFmtId="164" fontId="4" fillId="0" borderId="2" pivotButton="0" quotePrefix="0" xfId="0"/>
    <xf numFmtId="0" fontId="6" fillId="2" borderId="1" pivotButton="0" quotePrefix="0" xfId="0"/>
    <xf numFmtId="0" fontId="3" fillId="2" borderId="1" applyAlignment="1" pivotButton="0" quotePrefix="0" xfId="0">
      <alignment horizontal="center"/>
    </xf>
    <xf numFmtId="166" fontId="4" fillId="0" borderId="0" pivotButton="0" quotePrefix="0" xfId="0"/>
    <xf numFmtId="0" fontId="6" fillId="0" borderId="0" pivotButton="0" quotePrefix="0" xfId="0"/>
    <xf numFmtId="2" fontId="4" fillId="0" borderId="0" pivotButton="0" quotePrefix="0" xfId="0"/>
    <xf numFmtId="0" fontId="7" fillId="0" borderId="3" pivotButton="0" quotePrefix="0" xfId="0"/>
    <xf numFmtId="166" fontId="3" fillId="0" borderId="3" pivotButton="0" quotePrefix="0" xfId="0"/>
    <xf numFmtId="165" fontId="4" fillId="0" borderId="0" pivotButton="0" quotePrefix="0" xfId="0"/>
    <xf numFmtId="164" fontId="8" fillId="0" borderId="0" pivotButton="0" quotePrefix="0" xfId="0"/>
    <xf numFmtId="0" fontId="7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9" fillId="0" borderId="0" pivotButton="0" quotePrefix="0" xfId="0"/>
    <xf numFmtId="1" fontId="4" fillId="0" borderId="0" pivotButton="0" quotePrefix="0" xfId="0"/>
    <xf numFmtId="164" fontId="3" fillId="0" borderId="3" pivotButton="0" quotePrefix="0" xfId="0"/>
    <xf numFmtId="0" fontId="7" fillId="0" borderId="4" pivotButton="0" quotePrefix="0" xfId="0"/>
    <xf numFmtId="164" fontId="3" fillId="0" borderId="4" pivotButton="0" quotePrefix="0" xfId="0"/>
    <xf numFmtId="168" fontId="8" fillId="0" borderId="0" pivotButton="0" quotePrefix="0" xfId="0"/>
    <xf numFmtId="168" fontId="4" fillId="0" borderId="0" pivotButton="0" quotePrefix="0" xfId="0"/>
    <xf numFmtId="168" fontId="9" fillId="0" borderId="0" pivotButton="0" quotePrefix="0" xfId="0"/>
    <xf numFmtId="0" fontId="6" fillId="0" borderId="0" applyAlignment="1" pivotButton="0" quotePrefix="0" xfId="0">
      <alignment indent="1"/>
    </xf>
    <xf numFmtId="169" fontId="3" fillId="0" borderId="0" pivotButton="0" quotePrefix="0" xfId="0"/>
    <xf numFmtId="165" fontId="8" fillId="0" borderId="0" pivotButton="0" quotePrefix="0" xfId="0"/>
    <xf numFmtId="0" fontId="10" fillId="0" borderId="0" pivotButton="0" quotePrefix="0" xfId="0"/>
    <xf numFmtId="1" fontId="8" fillId="0" borderId="5" pivotButton="0" quotePrefix="0" xfId="0"/>
    <xf numFmtId="164" fontId="8" fillId="0" borderId="5" pivotButton="0" quotePrefix="0" xfId="0"/>
    <xf numFmtId="169" fontId="8" fillId="0" borderId="5" pivotButton="0" quotePrefix="0" xfId="0"/>
    <xf numFmtId="165" fontId="8" fillId="0" borderId="5" pivotButton="0" quotePrefix="0" xfId="0"/>
    <xf numFmtId="164" fontId="9" fillId="0" borderId="5" pivotButton="0" quotePrefix="0" xfId="0"/>
    <xf numFmtId="166" fontId="8" fillId="0" borderId="5" pivotButton="0" quotePrefix="0" xfId="0"/>
    <xf numFmtId="168" fontId="8" fillId="0" borderId="5" pivotButton="0" quotePrefix="0" xfId="0"/>
    <xf numFmtId="0" fontId="8" fillId="0" borderId="5" pivotButton="0" quotePrefix="0" xfId="0"/>
    <xf numFmtId="0" fontId="3" fillId="2" borderId="1" pivotButton="0" quotePrefix="0" xfId="0"/>
    <xf numFmtId="165" fontId="3" fillId="0" borderId="3" pivotButton="0" quotePrefix="0" xfId="0"/>
    <xf numFmtId="0" fontId="6" fillId="0" borderId="0" applyAlignment="1" pivotButton="0" quotePrefix="0" xfId="0">
      <alignment wrapText="1"/>
    </xf>
    <xf numFmtId="1" fontId="5" fillId="0" borderId="0" pivotButton="0" quotePrefix="0" xfId="0"/>
    <xf numFmtId="9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Verified &amp; active users</a:t>
            </a:r>
          </a:p>
        </rich>
      </tx>
    </title>
    <plotArea>
      <lineChart>
        <grouping val="standard"/>
        <ser>
          <idx val="0"/>
          <order val="0"/>
          <tx>
            <strRef>
              <f>'Users &amp; Growth'!A13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'Users &amp; Growth'!$B$4:$M$4</f>
            </numRef>
          </cat>
          <val>
            <numRef>
              <f>'Users &amp; Growth'!$B$13:$M$13</f>
            </numRef>
          </val>
        </ser>
        <ser>
          <idx val="1"/>
          <order val="1"/>
          <tx>
            <strRef>
              <f>'Users &amp; Growth'!A16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'Users &amp; Growth'!$B$4:$M$4</f>
            </numRef>
          </cat>
          <val>
            <numRef>
              <f>'Users &amp; Growth'!$B$16:$M$16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vs. operating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'Income Statement'!A10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'Users &amp; Growth'!$B$4:$M$4</f>
            </numRef>
          </cat>
          <val>
            <numRef>
              <f>'Income Statement'!$B$10:$M$10</f>
            </numRef>
          </val>
        </ser>
        <ser>
          <idx val="1"/>
          <order val="1"/>
          <tx>
            <strRef>
              <f>'Income Statement'!A34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'Users &amp; Growth'!$B$4:$M$4</f>
            </numRef>
          </cat>
          <val>
            <numRef>
              <f>'Income Statement'!$B$34:$M$34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B19" authorId="0" shapeId="0">
      <text>
        <t>Incl. ₹20k incorporation, excl. $25k YC credits (infra only).</t>
      </text>
    </comment>
  </commentList>
</comments>
</file>

<file path=xl/comments/comment2.xml><?xml version="1.0" encoding="utf-8"?>
<comments xmlns="http://schemas.openxmlformats.org/spreadsheetml/2006/main">
  <authors>
    <author>Model</author>
    <author>audit-2026-07-01</author>
  </authors>
  <commentList>
    <comment ref="C6" authorId="0" shapeId="0">
      <text>
        <t>All 5 founders unpaid for the duration of this model.</t>
      </text>
    </comment>
    <comment ref="C10" authorId="1" shapeId="0">
      <text>
        <t>Refreshed 2026-07-01 from prod Supabase (was 56). 65 real profiles, 1 test account excluded.</t>
      </text>
    </comment>
    <comment ref="C11" authorId="1" shapeId="0">
      <text>
        <t>Refreshed 2026-07-01 from prod Supabase (was 23). 26 verified of 65. Of 29 who attempted verification, 26 passed (90%); the real drop-off is that 55% of signups never attempt at all.</t>
      </text>
    </comment>
    <comment ref="C13" authorId="1" shapeId="0">
      <text>
        <t>Refreshed 2026-07-01 (was 5). 6 distinct RSVP'ing users in prod; 19 total RSVPs across 14 events. Hosting has stalled (0 events in last 7 days).</t>
      </text>
    </comment>
    <comment ref="C14" authorId="0" shapeId="0">
      <text>
        <t>₹0 spent — fully organic.</t>
      </text>
    </comment>
    <comment ref="C17" authorId="1" shapeId="0">
      <text>
        <t>Revised 2026-07-01 (was 20). The current base came from a single cold Reddit post; modestly higher organic reach assumed once real marketing runs. Kept conservative - MoM growth (8%) unchanged.</t>
      </text>
    </comment>
    <comment ref="C19" authorId="0" shapeId="0">
      <text>
        <t>Ads + campus ambassadors. Kept alongside the creator/sponsorship channels below, not replaced by them.</t>
      </text>
    </comment>
    <comment ref="C21" authorId="0" shapeId="0">
      <text>
        <t>Improves once the growth hire is running channels.</t>
      </text>
    </comment>
    <comment ref="C22" authorId="1" shapeId="0">
      <text>
        <t>Revised 2026-07-01 (was 0.40, orig 0.46). The 40% counted ~10 men who signed up on the cold Reddit post but never completed verification and never will (not the target user). Stripping them, real women signup-&gt;verified is 26/55 = 47%. Go-forward set to 50%: the 47% women floor plus a modest uplift from women-targeted marketing (vs one generic Reddit post). Attempters still pass ~90%, so 50% stays conservative.</t>
      </text>
    </comment>
    <comment ref="C25" authorId="0" shapeId="0">
      <text>
        <t>Applies to organic + generic paid only.</t>
      </text>
    </comment>
    <comment ref="C28" authorId="0" shapeId="0">
      <text>
        <t>Piloted once there's real event volume to show creators.</t>
      </text>
    </comment>
    <comment ref="C29" authorId="0" shapeId="0">
      <text>
        <t>Midpoint of a ₹5-7k range.</t>
      </text>
    </comment>
    <comment ref="C30" authorId="0" shapeId="0">
      <text>
        <t>Est.: ~3,000 story views × ~3% CTR × ~35% signup completion. No real data yet — tighten after the first pilot.</t>
      </text>
    </comment>
    <comment ref="C38" authorId="0" shapeId="0">
      <text>
        <t>Midpoint of ₹4-5k.</t>
      </text>
    </comment>
    <comment ref="C39" authorId="0" shapeId="0">
      <text>
        <t>Est.: ~15-20-person organic hangout, most attendees required to RSVP through the app. No real data yet.</t>
      </text>
    </comment>
    <comment ref="C43" authorId="1" shapeId="0">
      <text>
        <t>Revised 2026-07-01 (was 0.23, orig 0.50). Real activation is 6/26=23% off a cold-traffic base with no onboarding push. Set to 30%: real floor plus a modest lift from the shipped onboarding-copy change (Rory review Rec 6) and better-targeted acquisition. Deliberately kept well below the old unfounded 50%.</t>
      </text>
    </comment>
    <comment ref="C44" authorId="1" shapeId="0">
      <text>
        <t>Corrected 2026-07-01 (was 3.0). 3/mo was an aspirational steady state 'once there's real supply' — supply has collapsed (17 events ever, 3 in last 30 days, 0 in last 7). Observed is ~19 RSVPs / 6 active users over the app's life ≈ 1 event/active/month. Revisit upward only when hosting recovers.</t>
      </text>
    </comment>
    <comment ref="C48" authorId="0" shapeId="0">
      <text>
        <t>Too early to know — industry-benchmark placeholder.</t>
      </text>
    </comment>
    <comment ref="C50" authorId="0" shapeId="0">
      <text>
        <t>Midpoint of 15-20%.</t>
      </text>
    </comment>
    <comment ref="C52" authorId="0" shapeId="0">
      <text>
        <t>Midpoint of ₹199-299.</t>
      </text>
    </comment>
    <comment ref="C56" authorId="0" shapeId="0">
      <text>
        <t>Brand/venue revenue — distinct from the host-sponsorship acquisition cost above.</t>
      </text>
    </comment>
    <comment ref="C71" authorId="0" shapeId="0">
      <text>
        <t>Tools, domain, misc.</t>
      </text>
    </comment>
    <comment ref="C72" authorId="0" shapeId="0">
      <text>
        <t>Already paid — process underway.</t>
      </text>
    </comment>
    <comment ref="C75" authorId="0" shapeId="0">
      <text>
        <t>Covers AWS, Supabase, AI/LLM — non-cash, in-kind.</t>
      </text>
    </comment>
    <comment ref="C78" authorId="0" shapeId="0">
      <text>
        <t>Linear ramp Month 1→12 assumed.</t>
      </text>
    </comment>
    <comment ref="C82" authorId="0" shapeId="0">
      <text>
        <t>Base case excludes the raise in conversations — organic/self-funded runway only.</t>
      </text>
    </comment>
    <comment ref="C89" authorId="1" shapeId="0">
      <text>
        <t>App launches ~2-3 weeks from 2026-07-01, i.e. within forecast Month 1. Website has been live &lt;1 month; users are expected to be materially more active on the app, and push notifications (hard to do on web) become available.</t>
      </text>
    </comment>
    <comment ref="C90" authorId="1" shapeId="0">
      <text>
        <t>Month the app/push engagement uplift kicks in — ~2 months after launch, once users have migrated to the app and push notification flows are live and tuned. Before this month the model uses the website-era rates (C43/C44/C42).</t>
      </text>
    </comment>
    <comment ref="C91" authorId="1" shapeId="0">
      <text>
        <t>From Month C90 onward (was 0.30 website-era). Research: mobile apps convert ~3x and retain ~1.5-1.6x vs mobile web; push-opted-in users retain ~2-3x. Uplift here is a conservative +27% (0.30-&gt;0.38), well below those benchmarks, discounted for early-stage single-city execution.</t>
      </text>
    </comment>
    <comment ref="C92" authorId="1" shapeId="0">
      <text>
        <t>From Month C90 onward (was 1.0 website-era). Apps see ~2x session frequency vs web and push notifications drive repeat engagement; +40% (1.0-&gt;1.4) is conservative vs the ~2x benchmark. This is the lever push notifications move most directly (re-engaging users to RSVP again).</t>
      </text>
    </comment>
    <comment ref="C93" authorId="1" shapeId="0">
      <text>
        <t>From Month C90 onward (was 0.25 website-era; lifetime 4.0-&gt;4.5 mo). Push notifications are the single best-documented retention lever (users receiving push retain ~2-3x vs none). A move from 25% to 22% monthly churn is deliberately modest vs that evidence.</t>
      </text>
    </comment>
    <comment ref="C96" authorId="1" shapeId="0">
      <text>
        <t>Network-effect loop: each active user drives this many new signups per month via word-of-mouth/invites, feeding the same verification-&gt;activation funnel at ₹0 acquisition cost. Set 2026-07-01 at 0.20 (~2.4 signups/active/yr) — a deliberately moderate estimate with NO referral data behind it yet; the current base came from one cold Reddit post and word-of-mouth hasn't visibly kicked in. Loop is sub-critical (doesn't run away). Set to 0 to remove the network effect entirely; raise once real referral/invite data exists.</t>
      </text>
    </comment>
  </commentList>
</comments>
</file>

<file path=xl/comments/comment3.xml><?xml version="1.0" encoding="utf-8"?>
<comments xmlns="http://schemas.openxmlformats.org/spreadsheetml/2006/main">
  <authors>
    <author>Model</author>
    <author>audit-2026-07-01</author>
  </authors>
  <commentList>
    <comment ref="A6" authorId="0" shapeId="0">
      <text>
        <t>Month 0 actuals (2026-06-22): 48 signups, 22 verified, 0 active, 0 events.</t>
      </text>
    </comment>
    <comment ref="A9" authorId="0" shapeId="0">
      <text>
        <t>Starts Month 2, ramps 1→4 deals/month from Month 6.</t>
      </text>
    </comment>
    <comment ref="A10" authorId="0" shapeId="0">
      <text>
        <t>2 sponsored r/girlshangouthyd events/month from Month 1.</t>
      </text>
    </comment>
    <comment ref="A11" authorId="1" shapeId="0">
      <text>
        <t>Includes a referral/network-effect term = prior-month active users x Assumptions!C96 (word-of-mouth signups at ₹0 cost), on top of the four paid/organic channels above. This is why the total can exceed the sum of the visible channel rows 6-10.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A8" authorId="0" shapeId="0">
      <text>
        <t>17.5% take rate (midpoint of 15-20%), ₹400 avg ticket, 15% of events assumed paid — placeholder, replace once real paid events run.</t>
      </text>
    </comment>
    <comment ref="A18" authorId="0" shapeId="0">
      <text>
        <t>B2B brand/venue revenue, distinct from the r/girlshangouthyd host-sponsorship acquisition cost on the Income Statement.</t>
      </text>
    </comment>
  </commentList>
</comments>
</file>

<file path=xl/comments/comment5.xml><?xml version="1.0" encoding="utf-8"?>
<comments xmlns="http://schemas.openxmlformats.org/spreadsheetml/2006/main">
  <authors>
    <author>Model</author>
  </authors>
  <commentList>
    <comment ref="A26" authorId="0" shapeId="0">
      <text>
        <t>Kept alongside the creator/sponsorship lines below, per founder decision — not replaced by them.</t>
      </text>
    </comment>
    <comment ref="A27" authorId="0" shapeId="0">
      <text>
        <t>10-20k-follower local creators, ₹6,000/deal, starts Month 2, ramps 1→4/month from Month 6.</t>
      </text>
    </comment>
    <comment ref="A28" authorId="0" shapeId="0">
      <text>
        <t>r/girlshangouthyd organizers, ₹4,500/event, 2 events/month from Month 1.</t>
      </text>
    </comment>
    <comment ref="A41" authorId="0" shapeId="0">
      <text>
        <t>Fully offset by YC AI Stack grant income — never hits cash burn.</t>
      </text>
    </comment>
  </commentList>
</comments>
</file>

<file path=xl/comments/comment6.xml><?xml version="1.0" encoding="utf-8"?>
<comments xmlns="http://schemas.openxmlformats.org/spreadsheetml/2006/main">
  <authors>
    <author>Model</author>
  </authors>
  <commentList>
    <comment ref="A13" authorId="0" shapeId="0">
      <text>
        <t>Cash on hand at Month 0 is ₹0 and the pre-seed in conversations is NOT assumed to close — every month's shortfall is funded by the 5 founders. This is the real-world equivalent of 'runway', separate from the $25k YC AI Stack credits (infra only).</t>
      </text>
    </comment>
  </commentList>
</comments>
</file>

<file path=xl/comments/comment7.xml><?xml version="1.0" encoding="utf-8"?>
<comments xmlns="http://schemas.openxmlformats.org/spreadsheetml/2006/main">
  <authors>
    <author>Model</author>
  </authors>
  <commentList>
    <comment ref="A15" authorId="0" shapeId="0">
      <text>
        <t>YC credits booked as an in-kind asset with a matching Deferred Grant liability — as infra is consumed, both shrink together and the P&amp;L impact nets to zero.</t>
      </text>
    </comment>
    <comment ref="A20" authorId="0" shapeId="0">
      <text>
        <t>Excludes the YC credit's consumption (non-cash) but includes the ₹20,000 incorporation cost already paid pre-Month-1.</t>
      </text>
    </comment>
  </commentList>
</comments>
</file>

<file path=xl/comments/comment8.xml><?xml version="1.0" encoding="utf-8"?>
<comments xmlns="http://schemas.openxmlformats.org/spreadsheetml/2006/main">
  <authors>
    <author>Model</author>
    <author>audit-2026-07-01</author>
  </authors>
  <commentList>
    <comment ref="A10" authorId="0" shapeId="0">
      <text>
        <t>Read Month 10-12 as the more representative steady-state figures — early months are thin against a tiny user base.</t>
      </text>
    </comment>
    <comment ref="A14" authorId="0" shapeId="0">
      <text>
        <t>Sponsorship's edge isn't lowest cost-per-signup (creator deals are cheaper, ~₹182 vs ~₹225) — it's that every signup arrives attached to a real, verified-RSVP event feeding the trust graph. Re-rank once real per-deal data exists.</t>
      </text>
    </comment>
    <comment ref="A15" authorId="1" shapeId="0">
      <text>
        <t>Fixed 2026-07-01. Previously divided per-ACTIVE-user LTV (row 10) by per-VERIFIED-user CAC (row 11) - a units mismatch that overstated the ratio. Now multiplies LTV by the activation rate (Assumptions!C43) so both sides are per verified user acquired. This is the honest ratio; &lt;1 means a verified user's expected lifetime gross profit is below the cost to acquire them (expected pre-monetization).</t>
      </text>
    </comment>
    <comment ref="A16" authorId="1" shapeId="0">
      <text>
        <t>Fixed 2026-07-01. CAC is per verified user; gross profit is per active user, so payback now divides by GP-per-active x activation rate to put both on a per-verified basis.</t>
      </text>
    </comment>
    <comment ref="A26" authorId="0" shapeId="0">
      <text>
        <t>Moves every month as fixed costs step up — growth/ops hires (Month 3, 6) and the 2nd-city cost (Month 7).</t>
      </text>
    </comment>
  </commentList>
</comments>
</file>

<file path=xl/comments/comment9.xml><?xml version="1.0" encoding="utf-8"?>
<comments xmlns="http://schemas.openxmlformats.org/spreadsheetml/2006/main">
  <authors>
    <author>Model</author>
  </authors>
  <commentList>
    <comment ref="C28" authorId="0" shapeId="0">
      <text>
        <t>Cash on hand is ₹0, no raise assumed — this is what the 5 founders must personally cover (or raise). Separate from the $25k YC AI Stack credits, which only cover infra.</t>
      </text>
    </comment>
    <comment ref="C29" authorId="0" shapeId="0">
      <text>
        <t>High because revenue is still near-zero in Year 1 — expected at this stage, not a red flag on its own.</t>
      </text>
    </comment>
    <comment ref="C34" authorId="0" shapeId="0">
      <text>
        <t>Healthy marketplace benchmark is &gt;3x — treat this as directional, not a verdict, until real conversion data exists.</t>
      </text>
    </comment>
  </commentList>
</comments>
</file>

<file path=xl/comments/comment10.xml><?xml version="1.0" encoding="utf-8"?>
<comments xmlns="http://schemas.openxmlformats.org/spreadsheetml/2006/main">
  <authors>
    <author>Model</author>
  </authors>
  <commentList>
    <comment ref="A10" authorId="0" shapeId="0">
      <text>
        <t>Reserved for the 2 designers, financial analyst, growth and ops hires.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3" customWidth="1" min="3" max="3"/>
    <col width="42" customWidth="1" min="4" max="4"/>
    <col width="16" customWidth="1" min="5" max="5"/>
  </cols>
  <sheetData>
    <row r="1" ht="16" customHeight="1">
      <c r="A1" s="1" t="inlineStr">
        <is>
          <t>Afterhours — Financial Model Summary</t>
        </is>
      </c>
    </row>
    <row r="2">
      <c r="A2" s="2" t="inlineStr">
        <is>
          <t>Base case: organic-only runway, no pre-seed assumed to close, founders unpaid. v3, baseline refreshed 2026-07-01.</t>
        </is>
      </c>
    </row>
    <row r="3">
      <c r="A3" s="3" t="inlineStr">
        <is>
          <t>Year 1 acquisition spend by channel</t>
        </is>
      </c>
      <c r="B3" s="4" t="n"/>
      <c r="D3" s="3" t="inlineStr">
        <is>
          <t>Year 1 acquisition spend by channel</t>
        </is>
      </c>
      <c r="E3" s="4" t="n"/>
    </row>
    <row r="4">
      <c r="A4" s="3" t="inlineStr">
        <is>
          <t>Traction today (2026-07-01)</t>
        </is>
      </c>
      <c r="B4" s="4" t="n"/>
      <c r="D4" s="37" t="inlineStr">
        <is>
          <t>Generic ads/ambassadors</t>
        </is>
      </c>
      <c r="E4" s="39">
        <f>'Income Statement'!N26</f>
        <v/>
      </c>
    </row>
    <row r="5">
      <c r="A5" s="37" t="inlineStr">
        <is>
          <t>Total signups</t>
        </is>
      </c>
      <c r="B5" s="38">
        <f>Assumptions!$C$10</f>
        <v/>
      </c>
      <c r="D5" s="37" t="inlineStr">
        <is>
          <t>Creator partnerships</t>
        </is>
      </c>
      <c r="E5" s="39">
        <f>'Income Statement'!N27</f>
        <v/>
      </c>
    </row>
    <row r="6">
      <c r="A6" s="37" t="inlineStr">
        <is>
          <t>Verified users</t>
        </is>
      </c>
      <c r="B6" s="38">
        <f>Assumptions!$C$11</f>
        <v/>
      </c>
      <c r="D6" s="37" t="inlineStr">
        <is>
          <t>r/girlshangouthyd sponsorship</t>
        </is>
      </c>
      <c r="E6" s="39">
        <f>'Income Statement'!N28</f>
        <v/>
      </c>
    </row>
    <row r="7">
      <c r="A7" s="37" t="inlineStr">
        <is>
          <t>Active users</t>
        </is>
      </c>
      <c r="B7" s="38">
        <f>Assumptions!$C$13</f>
        <v/>
      </c>
      <c r="D7" s="23" t="inlineStr">
        <is>
          <t>Total acquisition spend, Year 1</t>
        </is>
      </c>
      <c r="E7" s="42">
        <f>'Income Statement'!N29</f>
        <v/>
      </c>
    </row>
    <row r="8">
      <c r="A8" s="37" t="inlineStr">
        <is>
          <t>Spend to date</t>
        </is>
      </c>
      <c r="B8" s="39">
        <f>Assumptions!$C$14</f>
        <v/>
      </c>
    </row>
    <row r="10">
      <c r="A10" s="3" t="inlineStr">
        <is>
          <t>Month 12 projection</t>
        </is>
      </c>
      <c r="B10" s="4" t="n"/>
    </row>
    <row r="11">
      <c r="A11" s="37" t="inlineStr">
        <is>
          <t>Cumulative verified users</t>
        </is>
      </c>
      <c r="B11" s="38">
        <f>'Users &amp; Growth'!M13</f>
        <v/>
      </c>
    </row>
    <row r="12">
      <c r="A12" s="37" t="inlineStr">
        <is>
          <t>Active users</t>
        </is>
      </c>
      <c r="B12" s="38">
        <f>'Users &amp; Growth'!M16</f>
        <v/>
      </c>
    </row>
    <row r="13">
      <c r="A13" s="37" t="inlineStr">
        <is>
          <t>Monthly revenue</t>
        </is>
      </c>
      <c r="B13" s="39">
        <f>'Income Statement'!M10</f>
        <v/>
      </c>
    </row>
    <row r="14">
      <c r="A14" s="37" t="inlineStr">
        <is>
          <t>Monthly burn</t>
        </is>
      </c>
      <c r="B14" s="39">
        <f>-'Income Statement'!M45</f>
        <v/>
      </c>
    </row>
    <row r="16">
      <c r="A16" s="3" t="inlineStr">
        <is>
          <t>Year 1 totals &amp; funding need</t>
        </is>
      </c>
      <c r="B16" s="4" t="n"/>
    </row>
    <row r="17">
      <c r="A17" s="37" t="inlineStr">
        <is>
          <t>Year 1 total revenue</t>
        </is>
      </c>
      <c r="B17" s="39">
        <f>'Income Statement'!N10</f>
        <v/>
      </c>
    </row>
    <row r="18">
      <c r="A18" s="37" t="inlineStr">
        <is>
          <t>Year 1 total burn</t>
        </is>
      </c>
      <c r="B18" s="39">
        <f>ABS('Income Statement'!N45)</f>
        <v/>
      </c>
    </row>
    <row r="19">
      <c r="A19" s="23" t="inlineStr">
        <is>
          <t>Founder funding required</t>
        </is>
      </c>
      <c r="B19" s="42">
        <f>'Balance Sheet'!M14</f>
        <v/>
      </c>
    </row>
    <row r="20">
      <c r="A20" s="37" t="inlineStr">
        <is>
          <t>LTV : CAC, Month 12 (activation-adj)</t>
        </is>
      </c>
      <c r="B20" s="40">
        <f>'Unit Economics &amp; Break-Even'!M15</f>
        <v/>
      </c>
    </row>
    <row r="23">
      <c r="A23" s="3" t="inlineStr">
        <is>
          <t>Notes</t>
        </is>
      </c>
      <c r="B23" s="4" t="n"/>
    </row>
    <row r="24">
      <c r="A24" s="48" t="inlineStr">
        <is>
          <t>Break-even is not reached within 12 months in this base case (see Unit Economics &amp; Break-Even).</t>
        </is>
      </c>
    </row>
    <row r="25">
      <c r="A25" s="48" t="inlineStr">
        <is>
          <t>Paid-event assumptions (15% paid, ₹400 ticket, 17.5% commission) are placeholders — replace once real paid events run.</t>
        </is>
      </c>
    </row>
    <row r="26">
      <c r="A26" s="48" t="inlineStr">
        <is>
          <t>Cash on hand is ₹0 and the pre-seed round is not assumed to close — 'Founder funding required' is the real money needed.</t>
        </is>
      </c>
    </row>
    <row r="27">
      <c r="A27" s="48" t="inlineStr">
        <is>
          <t>Creator (33/deal) and sponsorship (20/event) signup estimates have no real data behind them yet.</t>
        </is>
      </c>
    </row>
    <row r="28">
      <c r="A28" s="48" t="inlineStr">
        <is>
          <t>Host sponsorship only works if RSVPs are required through the app, not WhatsApp as usual.</t>
        </is>
      </c>
    </row>
    <row r="29">
      <c r="A29" s="48" t="inlineStr">
        <is>
          <t>The $25k YC AI Stack credit covers AWS/Supabase/AI infra only, not salaries or marketing.</t>
        </is>
      </c>
    </row>
    <row r="31">
      <c r="A31" s="48" t="inlineStr">
        <is>
          <t>Tabs: Assumptions → Users &amp; Growth → Revenue Model → Income Statement → Cash Flow → Balance Sheet → Unit Economics &amp; Break-Even → Financial Ratios → Cap Table.</t>
        </is>
      </c>
    </row>
  </sheetData>
  <mergeCells count="7">
    <mergeCell ref="A29:E29"/>
    <mergeCell ref="A26:E26"/>
    <mergeCell ref="A24:E24"/>
    <mergeCell ref="A28:E28"/>
    <mergeCell ref="A25:E25"/>
    <mergeCell ref="A31:E31"/>
    <mergeCell ref="A27:E27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3" customWidth="1" min="2" max="2"/>
    <col width="14" customWidth="1" min="3" max="3"/>
  </cols>
  <sheetData>
    <row r="1" ht="16" customHeight="1">
      <c r="A1" s="1" t="inlineStr">
        <is>
          <t>Afterhours — Financial Model Assumptions</t>
        </is>
      </c>
    </row>
    <row r="2">
      <c r="A2" s="2" t="inlineStr">
        <is>
          <t>All figures INR unless noted. Blue = input, hover a cell for context. Baseline + funnel rates refreshed 2026-07-01 vs real prod Supabase data (Rory Sutherland review pull), then adjusted for ~10 men who signed up but never verify and for a modestly better marketing funnel than the original single Reddit post. All other assumptions unchanged from 2026-06-22.</t>
        </is>
      </c>
    </row>
    <row r="4">
      <c r="A4" s="3" t="inlineStr">
        <is>
          <t>Company &amp; model setup</t>
        </is>
      </c>
      <c r="B4" s="4" t="n"/>
      <c r="C4" s="4" t="n"/>
    </row>
    <row r="5">
      <c r="A5" s="5" t="inlineStr">
        <is>
          <t>Number of founders</t>
        </is>
      </c>
      <c r="C5" s="6" t="n">
        <v>5</v>
      </c>
    </row>
    <row r="6">
      <c r="A6" s="5" t="inlineStr">
        <is>
          <t>Founder monthly salary (each)</t>
        </is>
      </c>
      <c r="C6" s="7" t="n">
        <v>0</v>
      </c>
    </row>
    <row r="7">
      <c r="A7" s="5" t="inlineStr">
        <is>
          <t>USD→INR rate</t>
        </is>
      </c>
      <c r="C7" s="8" t="n">
        <v>83</v>
      </c>
    </row>
    <row r="9">
      <c r="A9" s="3" t="inlineStr">
        <is>
          <t>Current traction — Month 0 actuals (2026-06-22)</t>
        </is>
      </c>
      <c r="B9" s="4" t="n"/>
      <c r="C9" s="4" t="n"/>
    </row>
    <row r="10">
      <c r="A10" s="5" t="inlineStr">
        <is>
          <t>Total signups</t>
        </is>
      </c>
      <c r="C10" s="6" t="n">
        <v>65</v>
      </c>
    </row>
    <row r="11">
      <c r="A11" s="5" t="inlineStr">
        <is>
          <t>Verified users</t>
        </is>
      </c>
      <c r="C11" s="6" t="n">
        <v>26</v>
      </c>
    </row>
    <row r="12">
      <c r="A12" s="5" t="inlineStr">
        <is>
          <t>Verification rate</t>
        </is>
      </c>
      <c r="C12" s="9">
        <f>C11/C10</f>
        <v/>
      </c>
    </row>
    <row r="13">
      <c r="A13" s="5" t="inlineStr">
        <is>
          <t>Active users</t>
        </is>
      </c>
      <c r="C13" s="6" t="n">
        <v>6</v>
      </c>
    </row>
    <row r="14">
      <c r="A14" s="5" t="inlineStr">
        <is>
          <t>CAC to date</t>
        </is>
      </c>
      <c r="C14" s="7" t="n">
        <v>0</v>
      </c>
    </row>
    <row r="16">
      <c r="A16" s="3" t="inlineStr">
        <is>
          <t>Acquisition — organic &amp; generic paid</t>
        </is>
      </c>
      <c r="B16" s="4" t="n"/>
      <c r="C16" s="4" t="n"/>
    </row>
    <row r="17">
      <c r="A17" s="5" t="inlineStr">
        <is>
          <t>Organic signups, Month 1</t>
        </is>
      </c>
      <c r="C17" s="6" t="n">
        <v>25</v>
      </c>
    </row>
    <row r="18">
      <c r="A18" s="5" t="inlineStr">
        <is>
          <t>Organic signups MoM growth</t>
        </is>
      </c>
      <c r="C18" s="10" t="n">
        <v>0.08</v>
      </c>
    </row>
    <row r="19">
      <c r="A19" s="5" t="inlineStr">
        <is>
          <t>Generic paid budget / month</t>
        </is>
      </c>
      <c r="C19" s="7" t="n">
        <v>20000</v>
      </c>
    </row>
    <row r="20">
      <c r="A20" s="5" t="inlineStr">
        <is>
          <t>Blended CAC, Months 1-2</t>
        </is>
      </c>
      <c r="C20" s="7" t="n">
        <v>150</v>
      </c>
    </row>
    <row r="21">
      <c r="A21" s="5" t="inlineStr">
        <is>
          <t>Blended CAC, Month 3+</t>
        </is>
      </c>
      <c r="C21" s="7" t="n">
        <v>100</v>
      </c>
    </row>
    <row r="22">
      <c r="A22" s="5" t="inlineStr">
        <is>
          <t>Verification rate, all new signups</t>
        </is>
      </c>
      <c r="C22" s="10" t="n">
        <v>0.5</v>
      </c>
    </row>
    <row r="23">
      <c r="A23" s="5" t="inlineStr">
        <is>
          <t>2nd-city launch month</t>
        </is>
      </c>
      <c r="C23" s="6" t="n">
        <v>7</v>
      </c>
    </row>
    <row r="24">
      <c r="A24" s="5" t="inlineStr">
        <is>
          <t>2nd-city one-time launch cost</t>
        </is>
      </c>
      <c r="C24" s="7" t="n">
        <v>75000</v>
      </c>
    </row>
    <row r="25">
      <c r="A25" s="5" t="inlineStr">
        <is>
          <t>2nd-city signup uplift</t>
        </is>
      </c>
      <c r="C25" s="10" t="n">
        <v>0.15</v>
      </c>
    </row>
    <row r="27">
      <c r="A27" s="3" t="inlineStr">
        <is>
          <t>Acquisition — creator partnerships (10-20k followers)</t>
        </is>
      </c>
      <c r="B27" s="4" t="n"/>
      <c r="C27" s="4" t="n"/>
    </row>
    <row r="28">
      <c r="A28" s="5" t="inlineStr">
        <is>
          <t>Start month</t>
        </is>
      </c>
      <c r="C28" s="6" t="n">
        <v>2</v>
      </c>
    </row>
    <row r="29">
      <c r="A29" s="5" t="inlineStr">
        <is>
          <t>Cost / deal</t>
        </is>
      </c>
      <c r="C29" s="7" t="n">
        <v>6000</v>
      </c>
    </row>
    <row r="30">
      <c r="A30" s="5" t="inlineStr">
        <is>
          <t>Signups / deal</t>
        </is>
      </c>
      <c r="C30" s="6" t="n">
        <v>33</v>
      </c>
    </row>
    <row r="31">
      <c r="A31" s="5" t="inlineStr">
        <is>
          <t>Deals/month, pilot tier</t>
        </is>
      </c>
      <c r="C31" s="6" t="n">
        <v>1</v>
      </c>
    </row>
    <row r="32">
      <c r="A32" s="5" t="inlineStr">
        <is>
          <t>Ramp-up month</t>
        </is>
      </c>
      <c r="C32" s="6" t="n">
        <v>6</v>
      </c>
    </row>
    <row r="33">
      <c r="A33" s="5" t="inlineStr">
        <is>
          <t>Deals/month, scaled tier</t>
        </is>
      </c>
      <c r="C33" s="6" t="n">
        <v>4</v>
      </c>
    </row>
    <row r="35">
      <c r="A35" s="3" t="inlineStr">
        <is>
          <t>Acquisition — r/girlshangouthyd host sponsorship</t>
        </is>
      </c>
      <c r="B35" s="4" t="n"/>
      <c r="C35" s="4" t="n"/>
    </row>
    <row r="36">
      <c r="A36" s="5" t="inlineStr">
        <is>
          <t>Start month</t>
        </is>
      </c>
      <c r="C36" s="6" t="n">
        <v>1</v>
      </c>
    </row>
    <row r="37">
      <c r="A37" s="5" t="inlineStr">
        <is>
          <t>Sponsored events/month</t>
        </is>
      </c>
      <c r="C37" s="6" t="n">
        <v>2</v>
      </c>
    </row>
    <row r="38">
      <c r="A38" s="5" t="inlineStr">
        <is>
          <t>Cost / event</t>
        </is>
      </c>
      <c r="C38" s="7" t="n">
        <v>4500</v>
      </c>
    </row>
    <row r="39">
      <c r="A39" s="5" t="inlineStr">
        <is>
          <t>Signups / event</t>
        </is>
      </c>
      <c r="C39" s="6" t="n">
        <v>20</v>
      </c>
    </row>
    <row r="41">
      <c r="A41" s="3" t="inlineStr">
        <is>
          <t>Engagement &amp; retention</t>
        </is>
      </c>
      <c r="B41" s="4" t="n"/>
      <c r="C41" s="4" t="n"/>
    </row>
    <row r="42">
      <c r="A42" s="5" t="inlineStr">
        <is>
          <t>Monthly active-user churn</t>
        </is>
      </c>
      <c r="C42" s="10" t="n">
        <v>0.25</v>
      </c>
    </row>
    <row r="43">
      <c r="A43" s="5" t="inlineStr">
        <is>
          <t>Activation rate (new verified → active)</t>
        </is>
      </c>
      <c r="C43" s="10" t="n">
        <v>0.3</v>
      </c>
    </row>
    <row r="44">
      <c r="A44" s="5" t="inlineStr">
        <is>
          <t>Events attended / active user / month</t>
        </is>
      </c>
      <c r="C44" s="11" t="n">
        <v>1</v>
      </c>
    </row>
    <row r="45">
      <c r="A45" s="5" t="inlineStr">
        <is>
          <t>Share of actives hosting ≥1 event/month</t>
        </is>
      </c>
      <c r="C45" s="10" t="n">
        <v>0.1</v>
      </c>
    </row>
    <row r="47">
      <c r="A47" s="3" t="inlineStr">
        <is>
          <t>Revenue model</t>
        </is>
      </c>
      <c r="B47" s="4" t="n"/>
      <c r="C47" s="4" t="n"/>
    </row>
    <row r="48">
      <c r="A48" s="5" t="inlineStr">
        <is>
          <t>Share of events that are paid</t>
        </is>
      </c>
      <c r="C48" s="10" t="n">
        <v>0.15</v>
      </c>
    </row>
    <row r="49">
      <c r="A49" s="5" t="inlineStr">
        <is>
          <t>Average paid-ticket price</t>
        </is>
      </c>
      <c r="C49" s="7" t="n">
        <v>400</v>
      </c>
    </row>
    <row r="50">
      <c r="A50" s="5" t="inlineStr">
        <is>
          <t>Platform commission rate</t>
        </is>
      </c>
      <c r="C50" s="10" t="n">
        <v>0.175</v>
      </c>
    </row>
    <row r="51">
      <c r="A51" s="5" t="inlineStr">
        <is>
          <t>Payment-gateway fee</t>
        </is>
      </c>
      <c r="C51" s="10" t="n">
        <v>0.025</v>
      </c>
    </row>
    <row r="52">
      <c r="A52" s="5" t="inlineStr">
        <is>
          <t>Premium subscription price / month</t>
        </is>
      </c>
      <c r="C52" s="7" t="n">
        <v>249</v>
      </c>
    </row>
    <row r="53">
      <c r="A53" s="5" t="inlineStr">
        <is>
          <t>Subscription launch month</t>
        </is>
      </c>
      <c r="C53" s="6" t="n">
        <v>4</v>
      </c>
    </row>
    <row r="54">
      <c r="A54" s="5" t="inlineStr">
        <is>
          <t>Subscription adoption at launch</t>
        </is>
      </c>
      <c r="C54" s="10" t="n">
        <v>0.02</v>
      </c>
    </row>
    <row r="55">
      <c r="A55" s="5" t="inlineStr">
        <is>
          <t>Subscription adoption, Month 12</t>
        </is>
      </c>
      <c r="C55" s="10" t="n">
        <v>0.08</v>
      </c>
    </row>
    <row r="56">
      <c r="A56" s="5" t="inlineStr">
        <is>
          <t>B2B sponsorship revenue start month</t>
        </is>
      </c>
      <c r="C56" s="6" t="n">
        <v>7</v>
      </c>
    </row>
    <row r="57">
      <c r="A57" s="5" t="inlineStr">
        <is>
          <t>B2B sponsorship tier-2 month</t>
        </is>
      </c>
      <c r="C57" s="6" t="n">
        <v>10</v>
      </c>
    </row>
    <row r="58">
      <c r="A58" s="5" t="inlineStr">
        <is>
          <t>B2B deals/month, tier 1</t>
        </is>
      </c>
      <c r="C58" s="6" t="n">
        <v>1</v>
      </c>
    </row>
    <row r="59">
      <c r="A59" s="5" t="inlineStr">
        <is>
          <t>B2B deals/month, tier 2</t>
        </is>
      </c>
      <c r="C59" s="6" t="n">
        <v>2</v>
      </c>
    </row>
    <row r="60">
      <c r="A60" s="5" t="inlineStr">
        <is>
          <t>Avg B2B deal value, tier 1</t>
        </is>
      </c>
      <c r="C60" s="7" t="n">
        <v>10000</v>
      </c>
    </row>
    <row r="61">
      <c r="A61" s="5" t="inlineStr">
        <is>
          <t>Avg B2B deal value, tier 2</t>
        </is>
      </c>
      <c r="C61" s="7" t="n">
        <v>12000</v>
      </c>
    </row>
    <row r="63">
      <c r="A63" s="3" t="inlineStr">
        <is>
          <t>Cost structure — team</t>
        </is>
      </c>
      <c r="B63" s="4" t="n"/>
      <c r="C63" s="4" t="n"/>
    </row>
    <row r="64">
      <c r="A64" s="5" t="inlineStr">
        <is>
          <t>Designer 1 / month</t>
        </is>
      </c>
      <c r="C64" s="7" t="n">
        <v>20000</v>
      </c>
    </row>
    <row r="65">
      <c r="A65" s="5" t="inlineStr">
        <is>
          <t>Designer 2 / month</t>
        </is>
      </c>
      <c r="C65" s="7" t="n">
        <v>20000</v>
      </c>
    </row>
    <row r="66">
      <c r="A66" s="5" t="inlineStr">
        <is>
          <t>Financial analyst / month</t>
        </is>
      </c>
      <c r="C66" s="7" t="n">
        <v>20000</v>
      </c>
    </row>
    <row r="67">
      <c r="A67" s="5" t="inlineStr">
        <is>
          <t>Growth hire / month</t>
        </is>
      </c>
      <c r="C67" s="7" t="n">
        <v>20000</v>
      </c>
    </row>
    <row r="68">
      <c r="A68" s="5" t="inlineStr">
        <is>
          <t>Growth hire start month</t>
        </is>
      </c>
      <c r="C68" s="6" t="n">
        <v>3</v>
      </c>
    </row>
    <row r="69">
      <c r="A69" s="5" t="inlineStr">
        <is>
          <t>Ops hire / month</t>
        </is>
      </c>
      <c r="C69" s="7" t="n">
        <v>20000</v>
      </c>
    </row>
    <row r="70">
      <c r="A70" s="5" t="inlineStr">
        <is>
          <t>Ops hire start month</t>
        </is>
      </c>
      <c r="C70" s="6" t="n">
        <v>6</v>
      </c>
    </row>
    <row r="71">
      <c r="A71" s="5" t="inlineStr">
        <is>
          <t>Other recurring opex / month</t>
        </is>
      </c>
      <c r="C71" s="7" t="n">
        <v>3500</v>
      </c>
    </row>
    <row r="72">
      <c r="A72" s="5" t="inlineStr">
        <is>
          <t>Incorporation cost (one-time, pre-Month-1)</t>
        </is>
      </c>
      <c r="C72" s="7" t="n">
        <v>20000</v>
      </c>
    </row>
    <row r="74">
      <c r="A74" s="3" t="inlineStr">
        <is>
          <t>Cloud / AI infrastructure — YC AI Stack</t>
        </is>
      </c>
      <c r="B74" s="4" t="n"/>
      <c r="C74" s="4" t="n"/>
    </row>
    <row r="75">
      <c r="A75" s="5" t="inlineStr">
        <is>
          <t>YC AI Stack credit (USD)</t>
        </is>
      </c>
      <c r="C75" s="12" t="n">
        <v>25000</v>
      </c>
    </row>
    <row r="76">
      <c r="A76" s="5" t="inlineStr">
        <is>
          <t>YC credit (INR)</t>
        </is>
      </c>
      <c r="C76" s="13">
        <f>C75*C7</f>
        <v/>
      </c>
    </row>
    <row r="77">
      <c r="A77" s="5" t="inlineStr">
        <is>
          <t>Infra cost, Month 1</t>
        </is>
      </c>
      <c r="C77" s="7" t="n">
        <v>15000</v>
      </c>
    </row>
    <row r="78">
      <c r="A78" s="5" t="inlineStr">
        <is>
          <t>Infra cost, Month 12</t>
        </is>
      </c>
      <c r="C78" s="7" t="n">
        <v>45000</v>
      </c>
    </row>
    <row r="80">
      <c r="A80" s="3" t="inlineStr">
        <is>
          <t>Funding &amp; cash</t>
        </is>
      </c>
      <c r="B80" s="4" t="n"/>
      <c r="C80" s="4" t="n"/>
    </row>
    <row r="81">
      <c r="A81" s="5" t="inlineStr">
        <is>
          <t>Cash on hand, Month 0</t>
        </is>
      </c>
      <c r="C81" s="7" t="n">
        <v>0</v>
      </c>
    </row>
    <row r="82">
      <c r="A82" s="5" t="inlineStr">
        <is>
          <t>Pre-seed raise assumed in this model</t>
        </is>
      </c>
      <c r="C82" s="7" t="n">
        <v>0</v>
      </c>
    </row>
    <row r="84">
      <c r="A84" s="3" t="inlineStr">
        <is>
          <t>Cap table</t>
        </is>
      </c>
      <c r="B84" s="4" t="n"/>
      <c r="C84" s="4" t="n"/>
    </row>
    <row r="85">
      <c r="A85" s="5" t="inlineStr">
        <is>
          <t>ESOP pool</t>
        </is>
      </c>
      <c r="C85" s="10" t="n">
        <v>0.1</v>
      </c>
    </row>
    <row r="86">
      <c r="A86" s="5" t="inlineStr">
        <is>
          <t>Founder equity, each of 5</t>
        </is>
      </c>
      <c r="C86" s="10" t="n">
        <v>0.18</v>
      </c>
    </row>
    <row r="88">
      <c r="A88" s="5" t="inlineStr">
        <is>
          <t>Engagement uplift — app launch + push notifications</t>
        </is>
      </c>
    </row>
    <row r="89">
      <c r="A89" s="5" t="inlineStr">
        <is>
          <t>App launch month (forecast)</t>
        </is>
      </c>
      <c r="C89" s="49" t="n">
        <v>1</v>
      </c>
    </row>
    <row r="90">
      <c r="A90" s="5" t="inlineStr">
        <is>
          <t>Engagement-uplift start month (app + push mature)</t>
        </is>
      </c>
      <c r="C90" s="49" t="n">
        <v>3</v>
      </c>
    </row>
    <row r="91">
      <c r="A91" s="5" t="inlineStr">
        <is>
          <t>Activation rate, post-uplift</t>
        </is>
      </c>
      <c r="C91" s="50" t="n">
        <v>0.38</v>
      </c>
    </row>
    <row r="92">
      <c r="A92" s="5" t="inlineStr">
        <is>
          <t>Events/active/mo, post-uplift</t>
        </is>
      </c>
      <c r="C92" s="51" t="n">
        <v>1.4</v>
      </c>
    </row>
    <row r="93">
      <c r="A93" s="5" t="inlineStr">
        <is>
          <t>Monthly churn, post-uplift</t>
        </is>
      </c>
      <c r="C93" s="50" t="n">
        <v>0.22</v>
      </c>
    </row>
    <row r="95">
      <c r="A95" s="5" t="inlineStr">
        <is>
          <t>Referral / network effect (existing users → new signups)</t>
        </is>
      </c>
    </row>
    <row r="96">
      <c r="A96" s="5" t="inlineStr">
        <is>
          <t>Referral signups / active user / month</t>
        </is>
      </c>
      <c r="C96" s="52" t="n">
        <v>0.2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16" customHeight="1">
      <c r="A1" s="1" t="inlineStr">
        <is>
          <t>Users &amp; Growth</t>
        </is>
      </c>
    </row>
    <row r="2">
      <c r="A2" s="2" t="inlineStr">
        <is>
          <t>Monthly acquisition → verification → activation → retention funnel.</t>
        </is>
      </c>
    </row>
    <row r="4">
      <c r="A4" s="14" t="inlineStr">
        <is>
          <t>(₹000s)</t>
        </is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15" t="inlineStr">
        <is>
          <t>FY1</t>
        </is>
      </c>
    </row>
    <row r="6">
      <c r="A6" s="5" t="inlineStr">
        <is>
          <t>Organic new signups</t>
        </is>
      </c>
      <c r="B6" s="16">
        <f>Assumptions!$C$17</f>
        <v/>
      </c>
      <c r="C6" s="16">
        <f>B6*(1+Assumptions!$C$18)</f>
        <v/>
      </c>
      <c r="D6" s="16">
        <f>C6*(1+Assumptions!$C$18)</f>
        <v/>
      </c>
      <c r="E6" s="16">
        <f>D6*(1+Assumptions!$C$18)</f>
        <v/>
      </c>
      <c r="F6" s="16">
        <f>E6*(1+Assumptions!$C$18)</f>
        <v/>
      </c>
      <c r="G6" s="16">
        <f>F6*(1+Assumptions!$C$18)</f>
        <v/>
      </c>
      <c r="H6" s="16">
        <f>G6*(1+Assumptions!$C$18)</f>
        <v/>
      </c>
      <c r="I6" s="16">
        <f>H6*(1+Assumptions!$C$18)</f>
        <v/>
      </c>
      <c r="J6" s="16">
        <f>I6*(1+Assumptions!$C$18)</f>
        <v/>
      </c>
      <c r="K6" s="16">
        <f>J6*(1+Assumptions!$C$18)</f>
        <v/>
      </c>
      <c r="L6" s="16">
        <f>K6*(1+Assumptions!$C$18)</f>
        <v/>
      </c>
      <c r="M6" s="16">
        <f>L6*(1+Assumptions!$C$18)</f>
        <v/>
      </c>
      <c r="N6" s="16">
        <f>SUM(B6:M6)</f>
        <v/>
      </c>
    </row>
    <row r="7">
      <c r="A7" s="5" t="inlineStr">
        <is>
          <t>Generic paid new signups</t>
        </is>
      </c>
      <c r="B7" s="16">
        <f>Assumptions!$C$19/IF(B$4&lt;Assumptions!$C$68,Assumptions!$C$20,Assumptions!$C$21)</f>
        <v/>
      </c>
      <c r="C7" s="16">
        <f>Assumptions!$C$19/IF(C$4&lt;Assumptions!$C$68,Assumptions!$C$20,Assumptions!$C$21)</f>
        <v/>
      </c>
      <c r="D7" s="16">
        <f>Assumptions!$C$19/IF(D$4&lt;Assumptions!$C$68,Assumptions!$C$20,Assumptions!$C$21)</f>
        <v/>
      </c>
      <c r="E7" s="16">
        <f>Assumptions!$C$19/IF(E$4&lt;Assumptions!$C$68,Assumptions!$C$20,Assumptions!$C$21)</f>
        <v/>
      </c>
      <c r="F7" s="16">
        <f>Assumptions!$C$19/IF(F$4&lt;Assumptions!$C$68,Assumptions!$C$20,Assumptions!$C$21)</f>
        <v/>
      </c>
      <c r="G7" s="16">
        <f>Assumptions!$C$19/IF(G$4&lt;Assumptions!$C$68,Assumptions!$C$20,Assumptions!$C$21)</f>
        <v/>
      </c>
      <c r="H7" s="16">
        <f>Assumptions!$C$19/IF(H$4&lt;Assumptions!$C$68,Assumptions!$C$20,Assumptions!$C$21)</f>
        <v/>
      </c>
      <c r="I7" s="16">
        <f>Assumptions!$C$19/IF(I$4&lt;Assumptions!$C$68,Assumptions!$C$20,Assumptions!$C$21)</f>
        <v/>
      </c>
      <c r="J7" s="16">
        <f>Assumptions!$C$19/IF(J$4&lt;Assumptions!$C$68,Assumptions!$C$20,Assumptions!$C$21)</f>
        <v/>
      </c>
      <c r="K7" s="16">
        <f>Assumptions!$C$19/IF(K$4&lt;Assumptions!$C$68,Assumptions!$C$20,Assumptions!$C$21)</f>
        <v/>
      </c>
      <c r="L7" s="16">
        <f>Assumptions!$C$19/IF(L$4&lt;Assumptions!$C$68,Assumptions!$C$20,Assumptions!$C$21)</f>
        <v/>
      </c>
      <c r="M7" s="16">
        <f>Assumptions!$C$19/IF(M$4&lt;Assumptions!$C$68,Assumptions!$C$20,Assumptions!$C$21)</f>
        <v/>
      </c>
      <c r="N7" s="16">
        <f>SUM(B7:M7)</f>
        <v/>
      </c>
    </row>
    <row r="8">
      <c r="A8" s="17" t="inlineStr">
        <is>
          <t>2nd-city uplift ×</t>
        </is>
      </c>
      <c r="B8" s="18">
        <f>IF(B$4&gt;=Assumptions!$C$23,1+Assumptions!$C$25,1)</f>
        <v/>
      </c>
      <c r="C8" s="18">
        <f>IF(C$4&gt;=Assumptions!$C$23,1+Assumptions!$C$25,1)</f>
        <v/>
      </c>
      <c r="D8" s="18">
        <f>IF(D$4&gt;=Assumptions!$C$23,1+Assumptions!$C$25,1)</f>
        <v/>
      </c>
      <c r="E8" s="18">
        <f>IF(E$4&gt;=Assumptions!$C$23,1+Assumptions!$C$25,1)</f>
        <v/>
      </c>
      <c r="F8" s="18">
        <f>IF(F$4&gt;=Assumptions!$C$23,1+Assumptions!$C$25,1)</f>
        <v/>
      </c>
      <c r="G8" s="18">
        <f>IF(G$4&gt;=Assumptions!$C$23,1+Assumptions!$C$25,1)</f>
        <v/>
      </c>
      <c r="H8" s="18">
        <f>IF(H$4&gt;=Assumptions!$C$23,1+Assumptions!$C$25,1)</f>
        <v/>
      </c>
      <c r="I8" s="18">
        <f>IF(I$4&gt;=Assumptions!$C$23,1+Assumptions!$C$25,1)</f>
        <v/>
      </c>
      <c r="J8" s="18">
        <f>IF(J$4&gt;=Assumptions!$C$23,1+Assumptions!$C$25,1)</f>
        <v/>
      </c>
      <c r="K8" s="18">
        <f>IF(K$4&gt;=Assumptions!$C$23,1+Assumptions!$C$25,1)</f>
        <v/>
      </c>
      <c r="L8" s="18">
        <f>IF(L$4&gt;=Assumptions!$C$23,1+Assumptions!$C$25,1)</f>
        <v/>
      </c>
      <c r="M8" s="18">
        <f>IF(M$4&gt;=Assumptions!$C$23,1+Assumptions!$C$25,1)</f>
        <v/>
      </c>
      <c r="N8" s="18" t="n"/>
    </row>
    <row r="9">
      <c r="A9" s="5" t="inlineStr">
        <is>
          <t>Creator-partnership new signups</t>
        </is>
      </c>
      <c r="B9" s="16">
        <f>IF(B$4&lt;Assumptions!$C$28,0,IF(B$4&lt;Assumptions!$C$32,Assumptions!$C$31,Assumptions!$C$33))*Assumptions!$C$30</f>
        <v/>
      </c>
      <c r="C9" s="16">
        <f>IF(C$4&lt;Assumptions!$C$28,0,IF(C$4&lt;Assumptions!$C$32,Assumptions!$C$31,Assumptions!$C$33))*Assumptions!$C$30</f>
        <v/>
      </c>
      <c r="D9" s="16">
        <f>IF(D$4&lt;Assumptions!$C$28,0,IF(D$4&lt;Assumptions!$C$32,Assumptions!$C$31,Assumptions!$C$33))*Assumptions!$C$30</f>
        <v/>
      </c>
      <c r="E9" s="16">
        <f>IF(E$4&lt;Assumptions!$C$28,0,IF(E$4&lt;Assumptions!$C$32,Assumptions!$C$31,Assumptions!$C$33))*Assumptions!$C$30</f>
        <v/>
      </c>
      <c r="F9" s="16">
        <f>IF(F$4&lt;Assumptions!$C$28,0,IF(F$4&lt;Assumptions!$C$32,Assumptions!$C$31,Assumptions!$C$33))*Assumptions!$C$30</f>
        <v/>
      </c>
      <c r="G9" s="16">
        <f>IF(G$4&lt;Assumptions!$C$28,0,IF(G$4&lt;Assumptions!$C$32,Assumptions!$C$31,Assumptions!$C$33))*Assumptions!$C$30</f>
        <v/>
      </c>
      <c r="H9" s="16">
        <f>IF(H$4&lt;Assumptions!$C$28,0,IF(H$4&lt;Assumptions!$C$32,Assumptions!$C$31,Assumptions!$C$33))*Assumptions!$C$30</f>
        <v/>
      </c>
      <c r="I9" s="16">
        <f>IF(I$4&lt;Assumptions!$C$28,0,IF(I$4&lt;Assumptions!$C$32,Assumptions!$C$31,Assumptions!$C$33))*Assumptions!$C$30</f>
        <v/>
      </c>
      <c r="J9" s="16">
        <f>IF(J$4&lt;Assumptions!$C$28,0,IF(J$4&lt;Assumptions!$C$32,Assumptions!$C$31,Assumptions!$C$33))*Assumptions!$C$30</f>
        <v/>
      </c>
      <c r="K9" s="16">
        <f>IF(K$4&lt;Assumptions!$C$28,0,IF(K$4&lt;Assumptions!$C$32,Assumptions!$C$31,Assumptions!$C$33))*Assumptions!$C$30</f>
        <v/>
      </c>
      <c r="L9" s="16">
        <f>IF(L$4&lt;Assumptions!$C$28,0,IF(L$4&lt;Assumptions!$C$32,Assumptions!$C$31,Assumptions!$C$33))*Assumptions!$C$30</f>
        <v/>
      </c>
      <c r="M9" s="16">
        <f>IF(M$4&lt;Assumptions!$C$28,0,IF(M$4&lt;Assumptions!$C$32,Assumptions!$C$31,Assumptions!$C$33))*Assumptions!$C$30</f>
        <v/>
      </c>
      <c r="N9" s="16">
        <f>SUM(B9:M9)</f>
        <v/>
      </c>
    </row>
    <row r="10">
      <c r="A10" s="5" t="inlineStr">
        <is>
          <t>Host-sponsorship new signups</t>
        </is>
      </c>
      <c r="B10" s="16">
        <f>IF(B$4&lt;Assumptions!$C$36,0,Assumptions!$C$37)*Assumptions!$C$39</f>
        <v/>
      </c>
      <c r="C10" s="16">
        <f>IF(C$4&lt;Assumptions!$C$36,0,Assumptions!$C$37)*Assumptions!$C$39</f>
        <v/>
      </c>
      <c r="D10" s="16">
        <f>IF(D$4&lt;Assumptions!$C$36,0,Assumptions!$C$37)*Assumptions!$C$39</f>
        <v/>
      </c>
      <c r="E10" s="16">
        <f>IF(E$4&lt;Assumptions!$C$36,0,Assumptions!$C$37)*Assumptions!$C$39</f>
        <v/>
      </c>
      <c r="F10" s="16">
        <f>IF(F$4&lt;Assumptions!$C$36,0,Assumptions!$C$37)*Assumptions!$C$39</f>
        <v/>
      </c>
      <c r="G10" s="16">
        <f>IF(G$4&lt;Assumptions!$C$36,0,Assumptions!$C$37)*Assumptions!$C$39</f>
        <v/>
      </c>
      <c r="H10" s="16">
        <f>IF(H$4&lt;Assumptions!$C$36,0,Assumptions!$C$37)*Assumptions!$C$39</f>
        <v/>
      </c>
      <c r="I10" s="16">
        <f>IF(I$4&lt;Assumptions!$C$36,0,Assumptions!$C$37)*Assumptions!$C$39</f>
        <v/>
      </c>
      <c r="J10" s="16">
        <f>IF(J$4&lt;Assumptions!$C$36,0,Assumptions!$C$37)*Assumptions!$C$39</f>
        <v/>
      </c>
      <c r="K10" s="16">
        <f>IF(K$4&lt;Assumptions!$C$36,0,Assumptions!$C$37)*Assumptions!$C$39</f>
        <v/>
      </c>
      <c r="L10" s="16">
        <f>IF(L$4&lt;Assumptions!$C$36,0,Assumptions!$C$37)*Assumptions!$C$39</f>
        <v/>
      </c>
      <c r="M10" s="16">
        <f>IF(M$4&lt;Assumptions!$C$36,0,Assumptions!$C$37)*Assumptions!$C$39</f>
        <v/>
      </c>
      <c r="N10" s="16">
        <f>SUM(B10:M10)</f>
        <v/>
      </c>
    </row>
    <row r="11">
      <c r="A11" s="19" t="inlineStr">
        <is>
          <t>Total new signups (incl. referrals)</t>
        </is>
      </c>
      <c r="B11" s="20">
        <f>(B6+B7)*B8+B9+B10+Assumptions!$C$13*Assumptions!$C$96</f>
        <v/>
      </c>
      <c r="C11" s="20">
        <f>(C6+C7)*C8+C9+C10+B16*Assumptions!$C$96</f>
        <v/>
      </c>
      <c r="D11" s="20">
        <f>(D6+D7)*D8+D9+D10+C16*Assumptions!$C$96</f>
        <v/>
      </c>
      <c r="E11" s="20">
        <f>(E6+E7)*E8+E9+E10+D16*Assumptions!$C$96</f>
        <v/>
      </c>
      <c r="F11" s="20">
        <f>(F6+F7)*F8+F9+F10+E16*Assumptions!$C$96</f>
        <v/>
      </c>
      <c r="G11" s="20">
        <f>(G6+G7)*G8+G9+G10+F16*Assumptions!$C$96</f>
        <v/>
      </c>
      <c r="H11" s="20">
        <f>(H6+H7)*H8+H9+H10+G16*Assumptions!$C$96</f>
        <v/>
      </c>
      <c r="I11" s="20">
        <f>(I6+I7)*I8+I9+I10+H16*Assumptions!$C$96</f>
        <v/>
      </c>
      <c r="J11" s="20">
        <f>(J6+J7)*J8+J9+J10+I16*Assumptions!$C$96</f>
        <v/>
      </c>
      <c r="K11" s="20">
        <f>(K6+K7)*K8+K9+K10+J16*Assumptions!$C$96</f>
        <v/>
      </c>
      <c r="L11" s="20">
        <f>(L6+L7)*L8+L9+L10+K16*Assumptions!$C$96</f>
        <v/>
      </c>
      <c r="M11" s="20">
        <f>(M6+M7)*M8+M9+M10+L16*Assumptions!$C$96</f>
        <v/>
      </c>
      <c r="N11" s="20">
        <f>SUM(B11:M11)</f>
        <v/>
      </c>
    </row>
    <row r="12">
      <c r="A12" s="5" t="inlineStr">
        <is>
          <t>New verified users</t>
        </is>
      </c>
      <c r="B12" s="16">
        <f>B11*Assumptions!$C$22</f>
        <v/>
      </c>
      <c r="C12" s="16">
        <f>C11*Assumptions!$C$22</f>
        <v/>
      </c>
      <c r="D12" s="16">
        <f>D11*Assumptions!$C$22</f>
        <v/>
      </c>
      <c r="E12" s="16">
        <f>E11*Assumptions!$C$22</f>
        <v/>
      </c>
      <c r="F12" s="16">
        <f>F11*Assumptions!$C$22</f>
        <v/>
      </c>
      <c r="G12" s="16">
        <f>G11*Assumptions!$C$22</f>
        <v/>
      </c>
      <c r="H12" s="16">
        <f>H11*Assumptions!$C$22</f>
        <v/>
      </c>
      <c r="I12" s="16">
        <f>I11*Assumptions!$C$22</f>
        <v/>
      </c>
      <c r="J12" s="16">
        <f>J11*Assumptions!$C$22</f>
        <v/>
      </c>
      <c r="K12" s="16">
        <f>K11*Assumptions!$C$22</f>
        <v/>
      </c>
      <c r="L12" s="16">
        <f>L11*Assumptions!$C$22</f>
        <v/>
      </c>
      <c r="M12" s="16">
        <f>M11*Assumptions!$C$22</f>
        <v/>
      </c>
      <c r="N12" s="16">
        <f>SUM(B12:M12)</f>
        <v/>
      </c>
    </row>
    <row r="13">
      <c r="A13" s="19" t="inlineStr">
        <is>
          <t>Cumulative verified users</t>
        </is>
      </c>
      <c r="B13" s="20">
        <f>Assumptions!$C$11+B12</f>
        <v/>
      </c>
      <c r="C13" s="20">
        <f>B13+C12</f>
        <v/>
      </c>
      <c r="D13" s="20">
        <f>C13+D12</f>
        <v/>
      </c>
      <c r="E13" s="20">
        <f>D13+E12</f>
        <v/>
      </c>
      <c r="F13" s="20">
        <f>E13+F12</f>
        <v/>
      </c>
      <c r="G13" s="20">
        <f>F13+G12</f>
        <v/>
      </c>
      <c r="H13" s="20">
        <f>G13+H12</f>
        <v/>
      </c>
      <c r="I13" s="20">
        <f>H13+I12</f>
        <v/>
      </c>
      <c r="J13" s="20">
        <f>I13+J12</f>
        <v/>
      </c>
      <c r="K13" s="20">
        <f>J13+K12</f>
        <v/>
      </c>
      <c r="L13" s="20">
        <f>K13+L12</f>
        <v/>
      </c>
      <c r="M13" s="20">
        <f>L13+M12</f>
        <v/>
      </c>
      <c r="N13" s="20">
        <f>M13</f>
        <v/>
      </c>
    </row>
    <row r="15">
      <c r="A15" s="5" t="inlineStr">
        <is>
          <t>New active users (activation)</t>
        </is>
      </c>
      <c r="B15" s="16">
        <f>B12*IF(B$4&gt;=Assumptions!$C$90,Assumptions!$C$91,Assumptions!$C$43)</f>
        <v/>
      </c>
      <c r="C15" s="16">
        <f>C12*IF(C$4&gt;=Assumptions!$C$90,Assumptions!$C$91,Assumptions!$C$43)</f>
        <v/>
      </c>
      <c r="D15" s="16">
        <f>D12*IF(D$4&gt;=Assumptions!$C$90,Assumptions!$C$91,Assumptions!$C$43)</f>
        <v/>
      </c>
      <c r="E15" s="16">
        <f>E12*IF(E$4&gt;=Assumptions!$C$90,Assumptions!$C$91,Assumptions!$C$43)</f>
        <v/>
      </c>
      <c r="F15" s="16">
        <f>F12*IF(F$4&gt;=Assumptions!$C$90,Assumptions!$C$91,Assumptions!$C$43)</f>
        <v/>
      </c>
      <c r="G15" s="16">
        <f>G12*IF(G$4&gt;=Assumptions!$C$90,Assumptions!$C$91,Assumptions!$C$43)</f>
        <v/>
      </c>
      <c r="H15" s="16">
        <f>H12*IF(H$4&gt;=Assumptions!$C$90,Assumptions!$C$91,Assumptions!$C$43)</f>
        <v/>
      </c>
      <c r="I15" s="16">
        <f>I12*IF(I$4&gt;=Assumptions!$C$90,Assumptions!$C$91,Assumptions!$C$43)</f>
        <v/>
      </c>
      <c r="J15" s="16">
        <f>J12*IF(J$4&gt;=Assumptions!$C$90,Assumptions!$C$91,Assumptions!$C$43)</f>
        <v/>
      </c>
      <c r="K15" s="16">
        <f>K12*IF(K$4&gt;=Assumptions!$C$90,Assumptions!$C$91,Assumptions!$C$43)</f>
        <v/>
      </c>
      <c r="L15" s="16">
        <f>L12*IF(L$4&gt;=Assumptions!$C$90,Assumptions!$C$91,Assumptions!$C$43)</f>
        <v/>
      </c>
      <c r="M15" s="16">
        <f>M12*IF(M$4&gt;=Assumptions!$C$90,Assumptions!$C$91,Assumptions!$C$43)</f>
        <v/>
      </c>
      <c r="N15" s="16">
        <f>SUM(B15:M15)</f>
        <v/>
      </c>
    </row>
    <row r="16">
      <c r="A16" s="19" t="inlineStr">
        <is>
          <t>Active users, end of month</t>
        </is>
      </c>
      <c r="B16" s="20">
        <f>Assumptions!$C$13*(1-IF(B$4&gt;=Assumptions!$C$90,Assumptions!$C$93,Assumptions!$C$42))+B15</f>
        <v/>
      </c>
      <c r="C16" s="20">
        <f>B16*(1-IF(C$4&gt;=Assumptions!$C$90,Assumptions!$C$93,Assumptions!$C$42))+C15</f>
        <v/>
      </c>
      <c r="D16" s="20">
        <f>C16*(1-IF(D$4&gt;=Assumptions!$C$90,Assumptions!$C$93,Assumptions!$C$42))+D15</f>
        <v/>
      </c>
      <c r="E16" s="20">
        <f>D16*(1-IF(E$4&gt;=Assumptions!$C$90,Assumptions!$C$93,Assumptions!$C$42))+E15</f>
        <v/>
      </c>
      <c r="F16" s="20">
        <f>E16*(1-IF(F$4&gt;=Assumptions!$C$90,Assumptions!$C$93,Assumptions!$C$42))+F15</f>
        <v/>
      </c>
      <c r="G16" s="20">
        <f>F16*(1-IF(G$4&gt;=Assumptions!$C$90,Assumptions!$C$93,Assumptions!$C$42))+G15</f>
        <v/>
      </c>
      <c r="H16" s="20">
        <f>G16*(1-IF(H$4&gt;=Assumptions!$C$90,Assumptions!$C$93,Assumptions!$C$42))+H15</f>
        <v/>
      </c>
      <c r="I16" s="20">
        <f>H16*(1-IF(I$4&gt;=Assumptions!$C$90,Assumptions!$C$93,Assumptions!$C$42))+I15</f>
        <v/>
      </c>
      <c r="J16" s="20">
        <f>I16*(1-IF(J$4&gt;=Assumptions!$C$90,Assumptions!$C$93,Assumptions!$C$42))+J15</f>
        <v/>
      </c>
      <c r="K16" s="20">
        <f>J16*(1-IF(K$4&gt;=Assumptions!$C$90,Assumptions!$C$93,Assumptions!$C$42))+K15</f>
        <v/>
      </c>
      <c r="L16" s="20">
        <f>K16*(1-IF(L$4&gt;=Assumptions!$C$90,Assumptions!$C$93,Assumptions!$C$42))+L15</f>
        <v/>
      </c>
      <c r="M16" s="20">
        <f>L16*(1-IF(M$4&gt;=Assumptions!$C$90,Assumptions!$C$93,Assumptions!$C$42))+M15</f>
        <v/>
      </c>
      <c r="N16" s="20">
        <f>M16</f>
        <v/>
      </c>
    </row>
    <row r="17">
      <c r="A17" s="17" t="inlineStr">
        <is>
          <t>Active users, MoM growth</t>
        </is>
      </c>
      <c r="B17" s="21">
        <f>IFERROR(B16/Assumptions!$C$13-1,"")</f>
        <v/>
      </c>
      <c r="C17" s="21">
        <f>IFERROR(C16/B16-1,"")</f>
        <v/>
      </c>
      <c r="D17" s="21">
        <f>IFERROR(D16/C16-1,"")</f>
        <v/>
      </c>
      <c r="E17" s="21">
        <f>IFERROR(E16/D16-1,"")</f>
        <v/>
      </c>
      <c r="F17" s="21">
        <f>IFERROR(F16/E16-1,"")</f>
        <v/>
      </c>
      <c r="G17" s="21">
        <f>IFERROR(G16/F16-1,"")</f>
        <v/>
      </c>
      <c r="H17" s="21">
        <f>IFERROR(H16/G16-1,"")</f>
        <v/>
      </c>
      <c r="I17" s="21">
        <f>IFERROR(I16/H16-1,"")</f>
        <v/>
      </c>
      <c r="J17" s="21">
        <f>IFERROR(J16/I16-1,"")</f>
        <v/>
      </c>
      <c r="K17" s="21">
        <f>IFERROR(K16/J16-1,"")</f>
        <v/>
      </c>
      <c r="L17" s="21">
        <f>IFERROR(L16/K16-1,"")</f>
        <v/>
      </c>
      <c r="M17" s="21">
        <f>IFERROR(M16/L16-1,"")</f>
        <v/>
      </c>
      <c r="N17" s="21" t="n"/>
    </row>
    <row r="19">
      <c r="A19" s="5" t="inlineStr">
        <is>
          <t>Events created</t>
        </is>
      </c>
      <c r="B19" s="16">
        <f>B16*Assumptions!$C$45</f>
        <v/>
      </c>
      <c r="C19" s="16">
        <f>C16*Assumptions!$C$45</f>
        <v/>
      </c>
      <c r="D19" s="16">
        <f>D16*Assumptions!$C$45</f>
        <v/>
      </c>
      <c r="E19" s="16">
        <f>E16*Assumptions!$C$45</f>
        <v/>
      </c>
      <c r="F19" s="16">
        <f>F16*Assumptions!$C$45</f>
        <v/>
      </c>
      <c r="G19" s="16">
        <f>G16*Assumptions!$C$45</f>
        <v/>
      </c>
      <c r="H19" s="16">
        <f>H16*Assumptions!$C$45</f>
        <v/>
      </c>
      <c r="I19" s="16">
        <f>I16*Assumptions!$C$45</f>
        <v/>
      </c>
      <c r="J19" s="16">
        <f>J16*Assumptions!$C$45</f>
        <v/>
      </c>
      <c r="K19" s="16">
        <f>K16*Assumptions!$C$45</f>
        <v/>
      </c>
      <c r="L19" s="16">
        <f>L16*Assumptions!$C$45</f>
        <v/>
      </c>
      <c r="M19" s="16">
        <f>M16*Assumptions!$C$45</f>
        <v/>
      </c>
      <c r="N19" s="16">
        <f>SUM(B19:M19)</f>
        <v/>
      </c>
    </row>
    <row r="20">
      <c r="A20" s="5" t="inlineStr">
        <is>
          <t>Total event-attendances</t>
        </is>
      </c>
      <c r="B20" s="16">
        <f>B16*IF(B$4&gt;=Assumptions!$C$90,Assumptions!$C$92,Assumptions!$C$44)</f>
        <v/>
      </c>
      <c r="C20" s="16">
        <f>C16*IF(C$4&gt;=Assumptions!$C$90,Assumptions!$C$92,Assumptions!$C$44)</f>
        <v/>
      </c>
      <c r="D20" s="16">
        <f>D16*IF(D$4&gt;=Assumptions!$C$90,Assumptions!$C$92,Assumptions!$C$44)</f>
        <v/>
      </c>
      <c r="E20" s="16">
        <f>E16*IF(E$4&gt;=Assumptions!$C$90,Assumptions!$C$92,Assumptions!$C$44)</f>
        <v/>
      </c>
      <c r="F20" s="16">
        <f>F16*IF(F$4&gt;=Assumptions!$C$90,Assumptions!$C$92,Assumptions!$C$44)</f>
        <v/>
      </c>
      <c r="G20" s="16">
        <f>G16*IF(G$4&gt;=Assumptions!$C$90,Assumptions!$C$92,Assumptions!$C$44)</f>
        <v/>
      </c>
      <c r="H20" s="16">
        <f>H16*IF(H$4&gt;=Assumptions!$C$90,Assumptions!$C$92,Assumptions!$C$44)</f>
        <v/>
      </c>
      <c r="I20" s="16">
        <f>I16*IF(I$4&gt;=Assumptions!$C$90,Assumptions!$C$92,Assumptions!$C$44)</f>
        <v/>
      </c>
      <c r="J20" s="16">
        <f>J16*IF(J$4&gt;=Assumptions!$C$90,Assumptions!$C$92,Assumptions!$C$44)</f>
        <v/>
      </c>
      <c r="K20" s="16">
        <f>K16*IF(K$4&gt;=Assumptions!$C$90,Assumptions!$C$92,Assumptions!$C$44)</f>
        <v/>
      </c>
      <c r="L20" s="16">
        <f>L16*IF(L$4&gt;=Assumptions!$C$90,Assumptions!$C$92,Assumptions!$C$44)</f>
        <v/>
      </c>
      <c r="M20" s="16">
        <f>M16*IF(M$4&gt;=Assumptions!$C$90,Assumptions!$C$92,Assumptions!$C$44)</f>
        <v/>
      </c>
      <c r="N20" s="16">
        <f>SUM(B20:M20)</f>
        <v/>
      </c>
    </row>
    <row r="21">
      <c r="A21" s="5" t="inlineStr">
        <is>
          <t>Paid event-attendances</t>
        </is>
      </c>
      <c r="B21" s="16">
        <f>B20*Assumptions!$C$48</f>
        <v/>
      </c>
      <c r="C21" s="16">
        <f>C20*Assumptions!$C$48</f>
        <v/>
      </c>
      <c r="D21" s="16">
        <f>D20*Assumptions!$C$48</f>
        <v/>
      </c>
      <c r="E21" s="16">
        <f>E20*Assumptions!$C$48</f>
        <v/>
      </c>
      <c r="F21" s="16">
        <f>F20*Assumptions!$C$48</f>
        <v/>
      </c>
      <c r="G21" s="16">
        <f>G20*Assumptions!$C$48</f>
        <v/>
      </c>
      <c r="H21" s="16">
        <f>H20*Assumptions!$C$48</f>
        <v/>
      </c>
      <c r="I21" s="16">
        <f>I20*Assumptions!$C$48</f>
        <v/>
      </c>
      <c r="J21" s="16">
        <f>J20*Assumptions!$C$48</f>
        <v/>
      </c>
      <c r="K21" s="16">
        <f>K20*Assumptions!$C$48</f>
        <v/>
      </c>
      <c r="L21" s="16">
        <f>L20*Assumptions!$C$48</f>
        <v/>
      </c>
      <c r="M21" s="16">
        <f>M20*Assumptions!$C$48</f>
        <v/>
      </c>
      <c r="N21" s="16">
        <f>SUM(B21:M21)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16" customHeight="1">
      <c r="A1" s="1" t="inlineStr">
        <is>
          <t>Revenue Model</t>
        </is>
      </c>
    </row>
    <row r="2">
      <c r="A2" s="2" t="inlineStr">
        <is>
          <t>Commission, subscription and B2B sponsorship, by stream.</t>
        </is>
      </c>
    </row>
    <row r="4">
      <c r="A4" s="14" t="inlineStr">
        <is>
          <t>(₹000s)</t>
        </is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15" t="inlineStr">
        <is>
          <t>FY1</t>
        </is>
      </c>
    </row>
    <row r="6">
      <c r="A6" s="3" t="inlineStr">
        <is>
          <t>Commission on paid events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inlineStr">
        <is>
          <t>Paid-ticket GMV</t>
        </is>
      </c>
      <c r="B7" s="22">
        <f>'Users &amp; Growth'!B21*Assumptions!$C$49</f>
        <v/>
      </c>
      <c r="C7" s="22">
        <f>'Users &amp; Growth'!C21*Assumptions!$C$49</f>
        <v/>
      </c>
      <c r="D7" s="22">
        <f>'Users &amp; Growth'!D21*Assumptions!$C$49</f>
        <v/>
      </c>
      <c r="E7" s="22">
        <f>'Users &amp; Growth'!E21*Assumptions!$C$49</f>
        <v/>
      </c>
      <c r="F7" s="22">
        <f>'Users &amp; Growth'!F21*Assumptions!$C$49</f>
        <v/>
      </c>
      <c r="G7" s="22">
        <f>'Users &amp; Growth'!G21*Assumptions!$C$49</f>
        <v/>
      </c>
      <c r="H7" s="22">
        <f>'Users &amp; Growth'!H21*Assumptions!$C$49</f>
        <v/>
      </c>
      <c r="I7" s="22">
        <f>'Users &amp; Growth'!I21*Assumptions!$C$49</f>
        <v/>
      </c>
      <c r="J7" s="22">
        <f>'Users &amp; Growth'!J21*Assumptions!$C$49</f>
        <v/>
      </c>
      <c r="K7" s="22">
        <f>'Users &amp; Growth'!K21*Assumptions!$C$49</f>
        <v/>
      </c>
      <c r="L7" s="22">
        <f>'Users &amp; Growth'!L21*Assumptions!$C$49</f>
        <v/>
      </c>
      <c r="M7" s="22">
        <f>'Users &amp; Growth'!M21*Assumptions!$C$49</f>
        <v/>
      </c>
      <c r="N7" s="22">
        <f>SUM(B7:M7)</f>
        <v/>
      </c>
    </row>
    <row r="8">
      <c r="A8" s="23" t="inlineStr">
        <is>
          <t>Commission revenue</t>
        </is>
      </c>
      <c r="B8" s="24">
        <f>B7*Assumptions!$C$50</f>
        <v/>
      </c>
      <c r="C8" s="24">
        <f>C7*Assumptions!$C$50</f>
        <v/>
      </c>
      <c r="D8" s="24">
        <f>D7*Assumptions!$C$50</f>
        <v/>
      </c>
      <c r="E8" s="24">
        <f>E7*Assumptions!$C$50</f>
        <v/>
      </c>
      <c r="F8" s="24">
        <f>F7*Assumptions!$C$50</f>
        <v/>
      </c>
      <c r="G8" s="24">
        <f>G7*Assumptions!$C$50</f>
        <v/>
      </c>
      <c r="H8" s="24">
        <f>H7*Assumptions!$C$50</f>
        <v/>
      </c>
      <c r="I8" s="24">
        <f>I7*Assumptions!$C$50</f>
        <v/>
      </c>
      <c r="J8" s="24">
        <f>J7*Assumptions!$C$50</f>
        <v/>
      </c>
      <c r="K8" s="24">
        <f>K7*Assumptions!$C$50</f>
        <v/>
      </c>
      <c r="L8" s="24">
        <f>L7*Assumptions!$C$50</f>
        <v/>
      </c>
      <c r="M8" s="24">
        <f>M7*Assumptions!$C$50</f>
        <v/>
      </c>
      <c r="N8" s="24">
        <f>SUM(B8:M8)</f>
        <v/>
      </c>
    </row>
    <row r="9">
      <c r="A9" s="5" t="inlineStr">
        <is>
          <t>Payment-gateway fees (COGS)</t>
        </is>
      </c>
      <c r="B9" s="25">
        <f>B7*Assumptions!$C$51</f>
        <v/>
      </c>
      <c r="C9" s="25">
        <f>C7*Assumptions!$C$51</f>
        <v/>
      </c>
      <c r="D9" s="25">
        <f>D7*Assumptions!$C$51</f>
        <v/>
      </c>
      <c r="E9" s="25">
        <f>E7*Assumptions!$C$51</f>
        <v/>
      </c>
      <c r="F9" s="25">
        <f>F7*Assumptions!$C$51</f>
        <v/>
      </c>
      <c r="G9" s="25">
        <f>G7*Assumptions!$C$51</f>
        <v/>
      </c>
      <c r="H9" s="25">
        <f>H7*Assumptions!$C$51</f>
        <v/>
      </c>
      <c r="I9" s="25">
        <f>I7*Assumptions!$C$51</f>
        <v/>
      </c>
      <c r="J9" s="25">
        <f>J7*Assumptions!$C$51</f>
        <v/>
      </c>
      <c r="K9" s="25">
        <f>K7*Assumptions!$C$51</f>
        <v/>
      </c>
      <c r="L9" s="25">
        <f>L7*Assumptions!$C$51</f>
        <v/>
      </c>
      <c r="M9" s="25">
        <f>M7*Assumptions!$C$51</f>
        <v/>
      </c>
      <c r="N9" s="25">
        <f>SUM(B9:M9)</f>
        <v/>
      </c>
    </row>
    <row r="11">
      <c r="A11" s="3" t="inlineStr">
        <is>
          <t>Premium subscription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17" t="inlineStr">
        <is>
          <t>Adoption rate, % active users</t>
        </is>
      </c>
      <c r="B12" s="21">
        <f>IF(B$4&lt;Assumptions!$C$53,0,Assumptions!$C$54+(Assumptions!$C$55-Assumptions!$C$54)*(B$4-Assumptions!$C$53)/(12-Assumptions!$C$53))</f>
        <v/>
      </c>
      <c r="C12" s="21">
        <f>IF(C$4&lt;Assumptions!$C$53,0,Assumptions!$C$54+(Assumptions!$C$55-Assumptions!$C$54)*(C$4-Assumptions!$C$53)/(12-Assumptions!$C$53))</f>
        <v/>
      </c>
      <c r="D12" s="21">
        <f>IF(D$4&lt;Assumptions!$C$53,0,Assumptions!$C$54+(Assumptions!$C$55-Assumptions!$C$54)*(D$4-Assumptions!$C$53)/(12-Assumptions!$C$53))</f>
        <v/>
      </c>
      <c r="E12" s="21">
        <f>IF(E$4&lt;Assumptions!$C$53,0,Assumptions!$C$54+(Assumptions!$C$55-Assumptions!$C$54)*(E$4-Assumptions!$C$53)/(12-Assumptions!$C$53))</f>
        <v/>
      </c>
      <c r="F12" s="21">
        <f>IF(F$4&lt;Assumptions!$C$53,0,Assumptions!$C$54+(Assumptions!$C$55-Assumptions!$C$54)*(F$4-Assumptions!$C$53)/(12-Assumptions!$C$53))</f>
        <v/>
      </c>
      <c r="G12" s="21">
        <f>IF(G$4&lt;Assumptions!$C$53,0,Assumptions!$C$54+(Assumptions!$C$55-Assumptions!$C$54)*(G$4-Assumptions!$C$53)/(12-Assumptions!$C$53))</f>
        <v/>
      </c>
      <c r="H12" s="21">
        <f>IF(H$4&lt;Assumptions!$C$53,0,Assumptions!$C$54+(Assumptions!$C$55-Assumptions!$C$54)*(H$4-Assumptions!$C$53)/(12-Assumptions!$C$53))</f>
        <v/>
      </c>
      <c r="I12" s="21">
        <f>IF(I$4&lt;Assumptions!$C$53,0,Assumptions!$C$54+(Assumptions!$C$55-Assumptions!$C$54)*(I$4-Assumptions!$C$53)/(12-Assumptions!$C$53))</f>
        <v/>
      </c>
      <c r="J12" s="21">
        <f>IF(J$4&lt;Assumptions!$C$53,0,Assumptions!$C$54+(Assumptions!$C$55-Assumptions!$C$54)*(J$4-Assumptions!$C$53)/(12-Assumptions!$C$53))</f>
        <v/>
      </c>
      <c r="K12" s="21">
        <f>IF(K$4&lt;Assumptions!$C$53,0,Assumptions!$C$54+(Assumptions!$C$55-Assumptions!$C$54)*(K$4-Assumptions!$C$53)/(12-Assumptions!$C$53))</f>
        <v/>
      </c>
      <c r="L12" s="21">
        <f>IF(L$4&lt;Assumptions!$C$53,0,Assumptions!$C$54+(Assumptions!$C$55-Assumptions!$C$54)*(L$4-Assumptions!$C$53)/(12-Assumptions!$C$53))</f>
        <v/>
      </c>
      <c r="M12" s="21">
        <f>IF(M$4&lt;Assumptions!$C$53,0,Assumptions!$C$54+(Assumptions!$C$55-Assumptions!$C$54)*(M$4-Assumptions!$C$53)/(12-Assumptions!$C$53))</f>
        <v/>
      </c>
      <c r="N12" s="21" t="n"/>
    </row>
    <row r="13">
      <c r="A13" s="23" t="inlineStr">
        <is>
          <t>Subscription revenue</t>
        </is>
      </c>
      <c r="B13" s="26">
        <f>'Users &amp; Growth'!B16*B12*Assumptions!$C$52</f>
        <v/>
      </c>
      <c r="C13" s="26">
        <f>'Users &amp; Growth'!C16*C12*Assumptions!$C$52</f>
        <v/>
      </c>
      <c r="D13" s="26">
        <f>'Users &amp; Growth'!D16*D12*Assumptions!$C$52</f>
        <v/>
      </c>
      <c r="E13" s="26">
        <f>'Users &amp; Growth'!E16*E12*Assumptions!$C$52</f>
        <v/>
      </c>
      <c r="F13" s="26">
        <f>'Users &amp; Growth'!F16*F12*Assumptions!$C$52</f>
        <v/>
      </c>
      <c r="G13" s="26">
        <f>'Users &amp; Growth'!G16*G12*Assumptions!$C$52</f>
        <v/>
      </c>
      <c r="H13" s="26">
        <f>'Users &amp; Growth'!H16*H12*Assumptions!$C$52</f>
        <v/>
      </c>
      <c r="I13" s="26">
        <f>'Users &amp; Growth'!I16*I12*Assumptions!$C$52</f>
        <v/>
      </c>
      <c r="J13" s="26">
        <f>'Users &amp; Growth'!J16*J12*Assumptions!$C$52</f>
        <v/>
      </c>
      <c r="K13" s="26">
        <f>'Users &amp; Growth'!K16*K12*Assumptions!$C$52</f>
        <v/>
      </c>
      <c r="L13" s="26">
        <f>'Users &amp; Growth'!L16*L12*Assumptions!$C$52</f>
        <v/>
      </c>
      <c r="M13" s="26">
        <f>'Users &amp; Growth'!M16*M12*Assumptions!$C$52</f>
        <v/>
      </c>
      <c r="N13" s="26">
        <f>SUM(B13:M13)</f>
        <v/>
      </c>
    </row>
    <row r="15">
      <c r="A15" s="3" t="inlineStr">
        <is>
          <t>B2B sponsorships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17" t="inlineStr">
        <is>
          <t>Deals</t>
        </is>
      </c>
      <c r="B16" s="27">
        <f>IF(B$4&lt;Assumptions!$C$56,0,IF(B$4&lt;Assumptions!$C$57,Assumptions!$C$58,Assumptions!$C$59))</f>
        <v/>
      </c>
      <c r="C16" s="27">
        <f>IF(C$4&lt;Assumptions!$C$56,0,IF(C$4&lt;Assumptions!$C$57,Assumptions!$C$58,Assumptions!$C$59))</f>
        <v/>
      </c>
      <c r="D16" s="27">
        <f>IF(D$4&lt;Assumptions!$C$56,0,IF(D$4&lt;Assumptions!$C$57,Assumptions!$C$58,Assumptions!$C$59))</f>
        <v/>
      </c>
      <c r="E16" s="27">
        <f>IF(E$4&lt;Assumptions!$C$56,0,IF(E$4&lt;Assumptions!$C$57,Assumptions!$C$58,Assumptions!$C$59))</f>
        <v/>
      </c>
      <c r="F16" s="27">
        <f>IF(F$4&lt;Assumptions!$C$56,0,IF(F$4&lt;Assumptions!$C$57,Assumptions!$C$58,Assumptions!$C$59))</f>
        <v/>
      </c>
      <c r="G16" s="27">
        <f>IF(G$4&lt;Assumptions!$C$56,0,IF(G$4&lt;Assumptions!$C$57,Assumptions!$C$58,Assumptions!$C$59))</f>
        <v/>
      </c>
      <c r="H16" s="27">
        <f>IF(H$4&lt;Assumptions!$C$56,0,IF(H$4&lt;Assumptions!$C$57,Assumptions!$C$58,Assumptions!$C$59))</f>
        <v/>
      </c>
      <c r="I16" s="27">
        <f>IF(I$4&lt;Assumptions!$C$56,0,IF(I$4&lt;Assumptions!$C$57,Assumptions!$C$58,Assumptions!$C$59))</f>
        <v/>
      </c>
      <c r="J16" s="27">
        <f>IF(J$4&lt;Assumptions!$C$56,0,IF(J$4&lt;Assumptions!$C$57,Assumptions!$C$58,Assumptions!$C$59))</f>
        <v/>
      </c>
      <c r="K16" s="27">
        <f>IF(K$4&lt;Assumptions!$C$56,0,IF(K$4&lt;Assumptions!$C$57,Assumptions!$C$58,Assumptions!$C$59))</f>
        <v/>
      </c>
      <c r="L16" s="27">
        <f>IF(L$4&lt;Assumptions!$C$56,0,IF(L$4&lt;Assumptions!$C$57,Assumptions!$C$58,Assumptions!$C$59))</f>
        <v/>
      </c>
      <c r="M16" s="27">
        <f>IF(M$4&lt;Assumptions!$C$56,0,IF(M$4&lt;Assumptions!$C$57,Assumptions!$C$58,Assumptions!$C$59))</f>
        <v/>
      </c>
      <c r="N16" s="27" t="n"/>
    </row>
    <row r="17">
      <c r="A17" s="17" t="inlineStr">
        <is>
          <t>Avg deal value</t>
        </is>
      </c>
      <c r="B17" s="25">
        <f>IF(B$4&lt;Assumptions!$C$56,0,IF(B$4&lt;Assumptions!$C$57,Assumptions!$C$60,Assumptions!$C$61))</f>
        <v/>
      </c>
      <c r="C17" s="25">
        <f>IF(C$4&lt;Assumptions!$C$56,0,IF(C$4&lt;Assumptions!$C$57,Assumptions!$C$60,Assumptions!$C$61))</f>
        <v/>
      </c>
      <c r="D17" s="25">
        <f>IF(D$4&lt;Assumptions!$C$56,0,IF(D$4&lt;Assumptions!$C$57,Assumptions!$C$60,Assumptions!$C$61))</f>
        <v/>
      </c>
      <c r="E17" s="25">
        <f>IF(E$4&lt;Assumptions!$C$56,0,IF(E$4&lt;Assumptions!$C$57,Assumptions!$C$60,Assumptions!$C$61))</f>
        <v/>
      </c>
      <c r="F17" s="25">
        <f>IF(F$4&lt;Assumptions!$C$56,0,IF(F$4&lt;Assumptions!$C$57,Assumptions!$C$60,Assumptions!$C$61))</f>
        <v/>
      </c>
      <c r="G17" s="25">
        <f>IF(G$4&lt;Assumptions!$C$56,0,IF(G$4&lt;Assumptions!$C$57,Assumptions!$C$60,Assumptions!$C$61))</f>
        <v/>
      </c>
      <c r="H17" s="25">
        <f>IF(H$4&lt;Assumptions!$C$56,0,IF(H$4&lt;Assumptions!$C$57,Assumptions!$C$60,Assumptions!$C$61))</f>
        <v/>
      </c>
      <c r="I17" s="25">
        <f>IF(I$4&lt;Assumptions!$C$56,0,IF(I$4&lt;Assumptions!$C$57,Assumptions!$C$60,Assumptions!$C$61))</f>
        <v/>
      </c>
      <c r="J17" s="25">
        <f>IF(J$4&lt;Assumptions!$C$56,0,IF(J$4&lt;Assumptions!$C$57,Assumptions!$C$60,Assumptions!$C$61))</f>
        <v/>
      </c>
      <c r="K17" s="25">
        <f>IF(K$4&lt;Assumptions!$C$56,0,IF(K$4&lt;Assumptions!$C$57,Assumptions!$C$60,Assumptions!$C$61))</f>
        <v/>
      </c>
      <c r="L17" s="25">
        <f>IF(L$4&lt;Assumptions!$C$56,0,IF(L$4&lt;Assumptions!$C$57,Assumptions!$C$60,Assumptions!$C$61))</f>
        <v/>
      </c>
      <c r="M17" s="25">
        <f>IF(M$4&lt;Assumptions!$C$56,0,IF(M$4&lt;Assumptions!$C$57,Assumptions!$C$60,Assumptions!$C$61))</f>
        <v/>
      </c>
      <c r="N17" s="25" t="n"/>
    </row>
    <row r="18">
      <c r="A18" s="23" t="inlineStr">
        <is>
          <t>Sponsorship revenue</t>
        </is>
      </c>
      <c r="B18" s="24">
        <f>B16*B17</f>
        <v/>
      </c>
      <c r="C18" s="24">
        <f>C16*C17</f>
        <v/>
      </c>
      <c r="D18" s="24">
        <f>D16*D17</f>
        <v/>
      </c>
      <c r="E18" s="24">
        <f>E16*E17</f>
        <v/>
      </c>
      <c r="F18" s="24">
        <f>F16*F17</f>
        <v/>
      </c>
      <c r="G18" s="24">
        <f>G16*G17</f>
        <v/>
      </c>
      <c r="H18" s="24">
        <f>H16*H17</f>
        <v/>
      </c>
      <c r="I18" s="24">
        <f>I16*I17</f>
        <v/>
      </c>
      <c r="J18" s="24">
        <f>J16*J17</f>
        <v/>
      </c>
      <c r="K18" s="24">
        <f>K16*K17</f>
        <v/>
      </c>
      <c r="L18" s="24">
        <f>L16*L17</f>
        <v/>
      </c>
      <c r="M18" s="24">
        <f>M16*M17</f>
        <v/>
      </c>
      <c r="N18" s="24">
        <f>SUM(B18:M18)</f>
        <v/>
      </c>
    </row>
    <row r="20">
      <c r="A20" s="3" t="inlineStr">
        <is>
          <t>Totals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19" t="inlineStr">
        <is>
          <t>Total Revenue</t>
        </is>
      </c>
      <c r="B21" s="28">
        <f>B8+B13+B18</f>
        <v/>
      </c>
      <c r="C21" s="28">
        <f>C8+C13+C18</f>
        <v/>
      </c>
      <c r="D21" s="28">
        <f>D8+D13+D18</f>
        <v/>
      </c>
      <c r="E21" s="28">
        <f>E8+E13+E18</f>
        <v/>
      </c>
      <c r="F21" s="28">
        <f>F8+F13+F18</f>
        <v/>
      </c>
      <c r="G21" s="28">
        <f>G8+G13+G18</f>
        <v/>
      </c>
      <c r="H21" s="28">
        <f>H8+H13+H18</f>
        <v/>
      </c>
      <c r="I21" s="28">
        <f>I8+I13+I18</f>
        <v/>
      </c>
      <c r="J21" s="28">
        <f>J8+J13+J18</f>
        <v/>
      </c>
      <c r="K21" s="28">
        <f>K8+K13+K18</f>
        <v/>
      </c>
      <c r="L21" s="28">
        <f>L8+L13+L18</f>
        <v/>
      </c>
      <c r="M21" s="28">
        <f>M8+M13+M18</f>
        <v/>
      </c>
      <c r="N21" s="28">
        <f>SUM(B21:M21)</f>
        <v/>
      </c>
    </row>
    <row r="22">
      <c r="A22" s="5" t="inlineStr">
        <is>
          <t>Total COGS</t>
        </is>
      </c>
      <c r="B22" s="25">
        <f>B9</f>
        <v/>
      </c>
      <c r="C22" s="25">
        <f>C9</f>
        <v/>
      </c>
      <c r="D22" s="25">
        <f>D9</f>
        <v/>
      </c>
      <c r="E22" s="25">
        <f>E9</f>
        <v/>
      </c>
      <c r="F22" s="25">
        <f>F9</f>
        <v/>
      </c>
      <c r="G22" s="25">
        <f>G9</f>
        <v/>
      </c>
      <c r="H22" s="25">
        <f>H9</f>
        <v/>
      </c>
      <c r="I22" s="25">
        <f>I9</f>
        <v/>
      </c>
      <c r="J22" s="25">
        <f>J9</f>
        <v/>
      </c>
      <c r="K22" s="25">
        <f>K9</f>
        <v/>
      </c>
      <c r="L22" s="25">
        <f>L9</f>
        <v/>
      </c>
      <c r="M22" s="25">
        <f>M9</f>
        <v/>
      </c>
      <c r="N22" s="25">
        <f>SUM(B22:M22)</f>
        <v/>
      </c>
    </row>
    <row r="23">
      <c r="A23" s="29" t="inlineStr">
        <is>
          <t>Gross Profit</t>
        </is>
      </c>
      <c r="B23" s="30">
        <f>B21-B22</f>
        <v/>
      </c>
      <c r="C23" s="30">
        <f>C21-C22</f>
        <v/>
      </c>
      <c r="D23" s="30">
        <f>D21-D22</f>
        <v/>
      </c>
      <c r="E23" s="30">
        <f>E21-E22</f>
        <v/>
      </c>
      <c r="F23" s="30">
        <f>F21-F22</f>
        <v/>
      </c>
      <c r="G23" s="30">
        <f>G21-G22</f>
        <v/>
      </c>
      <c r="H23" s="30">
        <f>H21-H22</f>
        <v/>
      </c>
      <c r="I23" s="30">
        <f>I21-I22</f>
        <v/>
      </c>
      <c r="J23" s="30">
        <f>J21-J22</f>
        <v/>
      </c>
      <c r="K23" s="30">
        <f>K21-K22</f>
        <v/>
      </c>
      <c r="L23" s="30">
        <f>L21-L22</f>
        <v/>
      </c>
      <c r="M23" s="30">
        <f>M21-M22</f>
        <v/>
      </c>
      <c r="N23" s="30">
        <f>SUM(B23:M23)</f>
        <v/>
      </c>
    </row>
    <row r="24">
      <c r="A24" s="17" t="inlineStr">
        <is>
          <t>Gross Margin %</t>
        </is>
      </c>
      <c r="B24" s="21">
        <f>IFERROR(B23/B21,"")</f>
        <v/>
      </c>
      <c r="C24" s="21">
        <f>IFERROR(C23/C21,"")</f>
        <v/>
      </c>
      <c r="D24" s="21">
        <f>IFERROR(D23/D21,"")</f>
        <v/>
      </c>
      <c r="E24" s="21">
        <f>IFERROR(E23/E21,"")</f>
        <v/>
      </c>
      <c r="F24" s="21">
        <f>IFERROR(F23/F21,"")</f>
        <v/>
      </c>
      <c r="G24" s="21">
        <f>IFERROR(G23/G21,"")</f>
        <v/>
      </c>
      <c r="H24" s="21">
        <f>IFERROR(H23/H21,"")</f>
        <v/>
      </c>
      <c r="I24" s="21">
        <f>IFERROR(I23/I21,"")</f>
        <v/>
      </c>
      <c r="J24" s="21">
        <f>IFERROR(J23/J21,"")</f>
        <v/>
      </c>
      <c r="K24" s="21">
        <f>IFERROR(K23/K21,"")</f>
        <v/>
      </c>
      <c r="L24" s="21">
        <f>IFERROR(L23/L21,"")</f>
        <v/>
      </c>
      <c r="M24" s="21">
        <f>IFERROR(M23/M21,"")</f>
        <v/>
      </c>
      <c r="N24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16" customHeight="1">
      <c r="A1" s="1" t="inlineStr">
        <is>
          <t>Income Statement</t>
        </is>
      </c>
    </row>
    <row r="2">
      <c r="A2" s="2" t="inlineStr">
        <is>
          <t>Monthly P&amp;L, 12-month forecast. No D&amp;A/interest/tax — pre-revenue startup, losses carried forward.</t>
        </is>
      </c>
    </row>
    <row r="4">
      <c r="A4" s="14" t="inlineStr">
        <is>
          <t>(₹000s)</t>
        </is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15" t="inlineStr">
        <is>
          <t>FY1</t>
        </is>
      </c>
    </row>
    <row r="6">
      <c r="A6" s="3" t="inlineStr">
        <is>
          <t>Revenue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inlineStr">
        <is>
          <t>Commission revenue</t>
        </is>
      </c>
      <c r="B7" s="22">
        <f>'Revenue Model'!B8</f>
        <v/>
      </c>
      <c r="C7" s="22">
        <f>'Revenue Model'!C8</f>
        <v/>
      </c>
      <c r="D7" s="22">
        <f>'Revenue Model'!D8</f>
        <v/>
      </c>
      <c r="E7" s="22">
        <f>'Revenue Model'!E8</f>
        <v/>
      </c>
      <c r="F7" s="22">
        <f>'Revenue Model'!F8</f>
        <v/>
      </c>
      <c r="G7" s="22">
        <f>'Revenue Model'!G8</f>
        <v/>
      </c>
      <c r="H7" s="22">
        <f>'Revenue Model'!H8</f>
        <v/>
      </c>
      <c r="I7" s="22">
        <f>'Revenue Model'!I8</f>
        <v/>
      </c>
      <c r="J7" s="22">
        <f>'Revenue Model'!J8</f>
        <v/>
      </c>
      <c r="K7" s="22">
        <f>'Revenue Model'!K8</f>
        <v/>
      </c>
      <c r="L7" s="22">
        <f>'Revenue Model'!L8</f>
        <v/>
      </c>
      <c r="M7" s="22">
        <f>'Revenue Model'!M8</f>
        <v/>
      </c>
      <c r="N7" s="22">
        <f>SUM(B7:M7)</f>
        <v/>
      </c>
    </row>
    <row r="8">
      <c r="A8" s="5" t="inlineStr">
        <is>
          <t>Subscription revenue</t>
        </is>
      </c>
      <c r="B8" s="22">
        <f>'Revenue Model'!B13</f>
        <v/>
      </c>
      <c r="C8" s="22">
        <f>'Revenue Model'!C13</f>
        <v/>
      </c>
      <c r="D8" s="22">
        <f>'Revenue Model'!D13</f>
        <v/>
      </c>
      <c r="E8" s="22">
        <f>'Revenue Model'!E13</f>
        <v/>
      </c>
      <c r="F8" s="22">
        <f>'Revenue Model'!F13</f>
        <v/>
      </c>
      <c r="G8" s="22">
        <f>'Revenue Model'!G13</f>
        <v/>
      </c>
      <c r="H8" s="22">
        <f>'Revenue Model'!H13</f>
        <v/>
      </c>
      <c r="I8" s="22">
        <f>'Revenue Model'!I13</f>
        <v/>
      </c>
      <c r="J8" s="22">
        <f>'Revenue Model'!J13</f>
        <v/>
      </c>
      <c r="K8" s="22">
        <f>'Revenue Model'!K13</f>
        <v/>
      </c>
      <c r="L8" s="22">
        <f>'Revenue Model'!L13</f>
        <v/>
      </c>
      <c r="M8" s="22">
        <f>'Revenue Model'!M13</f>
        <v/>
      </c>
      <c r="N8" s="22">
        <f>SUM(B8:M8)</f>
        <v/>
      </c>
    </row>
    <row r="9">
      <c r="A9" s="5" t="inlineStr">
        <is>
          <t>Sponsorship revenue (B2B)</t>
        </is>
      </c>
      <c r="B9" s="22">
        <f>'Revenue Model'!B18</f>
        <v/>
      </c>
      <c r="C9" s="22">
        <f>'Revenue Model'!C18</f>
        <v/>
      </c>
      <c r="D9" s="22">
        <f>'Revenue Model'!D18</f>
        <v/>
      </c>
      <c r="E9" s="22">
        <f>'Revenue Model'!E18</f>
        <v/>
      </c>
      <c r="F9" s="22">
        <f>'Revenue Model'!F18</f>
        <v/>
      </c>
      <c r="G9" s="22">
        <f>'Revenue Model'!G18</f>
        <v/>
      </c>
      <c r="H9" s="22">
        <f>'Revenue Model'!H18</f>
        <v/>
      </c>
      <c r="I9" s="22">
        <f>'Revenue Model'!I18</f>
        <v/>
      </c>
      <c r="J9" s="22">
        <f>'Revenue Model'!J18</f>
        <v/>
      </c>
      <c r="K9" s="22">
        <f>'Revenue Model'!K18</f>
        <v/>
      </c>
      <c r="L9" s="22">
        <f>'Revenue Model'!L18</f>
        <v/>
      </c>
      <c r="M9" s="22">
        <f>'Revenue Model'!M18</f>
        <v/>
      </c>
      <c r="N9" s="22">
        <f>SUM(B9:M9)</f>
        <v/>
      </c>
    </row>
    <row r="10">
      <c r="A10" s="19" t="inlineStr">
        <is>
          <t>Total Revenue</t>
        </is>
      </c>
      <c r="B10" s="28">
        <f>B7+B8+B9</f>
        <v/>
      </c>
      <c r="C10" s="28">
        <f>C7+C8+C9</f>
        <v/>
      </c>
      <c r="D10" s="28">
        <f>D7+D8+D9</f>
        <v/>
      </c>
      <c r="E10" s="28">
        <f>E7+E8+E9</f>
        <v/>
      </c>
      <c r="F10" s="28">
        <f>F7+F8+F9</f>
        <v/>
      </c>
      <c r="G10" s="28">
        <f>G7+G8+G9</f>
        <v/>
      </c>
      <c r="H10" s="28">
        <f>H7+H8+H9</f>
        <v/>
      </c>
      <c r="I10" s="28">
        <f>I7+I8+I9</f>
        <v/>
      </c>
      <c r="J10" s="28">
        <f>J7+J8+J9</f>
        <v/>
      </c>
      <c r="K10" s="28">
        <f>K7+K8+K9</f>
        <v/>
      </c>
      <c r="L10" s="28">
        <f>L7+L8+L9</f>
        <v/>
      </c>
      <c r="M10" s="28">
        <f>M7+M8+M9</f>
        <v/>
      </c>
      <c r="N10" s="28">
        <f>SUM(B10:M10)</f>
        <v/>
      </c>
    </row>
    <row r="12">
      <c r="A12" s="3" t="inlineStr">
        <is>
          <t>Cost of revenue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inlineStr">
        <is>
          <t>Payment-gateway fees</t>
        </is>
      </c>
      <c r="B13" s="22">
        <f>'Revenue Model'!B9</f>
        <v/>
      </c>
      <c r="C13" s="22">
        <f>'Revenue Model'!C9</f>
        <v/>
      </c>
      <c r="D13" s="22">
        <f>'Revenue Model'!D9</f>
        <v/>
      </c>
      <c r="E13" s="22">
        <f>'Revenue Model'!E9</f>
        <v/>
      </c>
      <c r="F13" s="22">
        <f>'Revenue Model'!F9</f>
        <v/>
      </c>
      <c r="G13" s="22">
        <f>'Revenue Model'!G9</f>
        <v/>
      </c>
      <c r="H13" s="22">
        <f>'Revenue Model'!H9</f>
        <v/>
      </c>
      <c r="I13" s="22">
        <f>'Revenue Model'!I9</f>
        <v/>
      </c>
      <c r="J13" s="22">
        <f>'Revenue Model'!J9</f>
        <v/>
      </c>
      <c r="K13" s="22">
        <f>'Revenue Model'!K9</f>
        <v/>
      </c>
      <c r="L13" s="22">
        <f>'Revenue Model'!L9</f>
        <v/>
      </c>
      <c r="M13" s="22">
        <f>'Revenue Model'!M9</f>
        <v/>
      </c>
      <c r="N13" s="22">
        <f>SUM(B13:M13)</f>
        <v/>
      </c>
    </row>
    <row r="14">
      <c r="A14" s="29" t="inlineStr">
        <is>
          <t>Gross Profit</t>
        </is>
      </c>
      <c r="B14" s="30">
        <f>B10-B13</f>
        <v/>
      </c>
      <c r="C14" s="30">
        <f>C10-C13</f>
        <v/>
      </c>
      <c r="D14" s="30">
        <f>D10-D13</f>
        <v/>
      </c>
      <c r="E14" s="30">
        <f>E10-E13</f>
        <v/>
      </c>
      <c r="F14" s="30">
        <f>F10-F13</f>
        <v/>
      </c>
      <c r="G14" s="30">
        <f>G10-G13</f>
        <v/>
      </c>
      <c r="H14" s="30">
        <f>H10-H13</f>
        <v/>
      </c>
      <c r="I14" s="30">
        <f>I10-I13</f>
        <v/>
      </c>
      <c r="J14" s="30">
        <f>J10-J13</f>
        <v/>
      </c>
      <c r="K14" s="30">
        <f>K10-K13</f>
        <v/>
      </c>
      <c r="L14" s="30">
        <f>L10-L13</f>
        <v/>
      </c>
      <c r="M14" s="30">
        <f>M10-M13</f>
        <v/>
      </c>
      <c r="N14" s="30">
        <f>SUM(B14:M14)</f>
        <v/>
      </c>
    </row>
    <row r="15">
      <c r="A15" s="17" t="inlineStr">
        <is>
          <t>Gross Margin %</t>
        </is>
      </c>
      <c r="B15" s="21">
        <f>IFERROR(B14/B10,"")</f>
        <v/>
      </c>
      <c r="C15" s="21">
        <f>IFERROR(C14/C10,"")</f>
        <v/>
      </c>
      <c r="D15" s="21">
        <f>IFERROR(D14/D10,"")</f>
        <v/>
      </c>
      <c r="E15" s="21">
        <f>IFERROR(E14/E10,"")</f>
        <v/>
      </c>
      <c r="F15" s="21">
        <f>IFERROR(F14/F10,"")</f>
        <v/>
      </c>
      <c r="G15" s="21">
        <f>IFERROR(G14/G10,"")</f>
        <v/>
      </c>
      <c r="H15" s="21">
        <f>IFERROR(H14/H10,"")</f>
        <v/>
      </c>
      <c r="I15" s="21">
        <f>IFERROR(I14/I10,"")</f>
        <v/>
      </c>
      <c r="J15" s="21">
        <f>IFERROR(J14/J10,"")</f>
        <v/>
      </c>
      <c r="K15" s="21">
        <f>IFERROR(K14/K10,"")</f>
        <v/>
      </c>
      <c r="L15" s="21">
        <f>IFERROR(L14/L10,"")</f>
        <v/>
      </c>
      <c r="M15" s="21">
        <f>IFERROR(M14/M10,"")</f>
        <v/>
      </c>
      <c r="N15" s="21" t="n"/>
    </row>
    <row r="17">
      <c r="A17" s="3" t="inlineStr">
        <is>
          <t>Operating expenses — team (5 founders unpaid)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inlineStr">
        <is>
          <t>Designer 1</t>
        </is>
      </c>
      <c r="B18" s="25">
        <f>Assumptions!$C$64</f>
        <v/>
      </c>
      <c r="C18" s="25">
        <f>Assumptions!$C$64</f>
        <v/>
      </c>
      <c r="D18" s="25">
        <f>Assumptions!$C$64</f>
        <v/>
      </c>
      <c r="E18" s="25">
        <f>Assumptions!$C$64</f>
        <v/>
      </c>
      <c r="F18" s="25">
        <f>Assumptions!$C$64</f>
        <v/>
      </c>
      <c r="G18" s="25">
        <f>Assumptions!$C$64</f>
        <v/>
      </c>
      <c r="H18" s="25">
        <f>Assumptions!$C$64</f>
        <v/>
      </c>
      <c r="I18" s="25">
        <f>Assumptions!$C$64</f>
        <v/>
      </c>
      <c r="J18" s="25">
        <f>Assumptions!$C$64</f>
        <v/>
      </c>
      <c r="K18" s="25">
        <f>Assumptions!$C$64</f>
        <v/>
      </c>
      <c r="L18" s="25">
        <f>Assumptions!$C$64</f>
        <v/>
      </c>
      <c r="M18" s="25">
        <f>Assumptions!$C$64</f>
        <v/>
      </c>
      <c r="N18" s="25">
        <f>SUM(B18:M18)</f>
        <v/>
      </c>
    </row>
    <row r="19">
      <c r="A19" s="5" t="inlineStr">
        <is>
          <t>Designer 2</t>
        </is>
      </c>
      <c r="B19" s="25">
        <f>Assumptions!$C$65</f>
        <v/>
      </c>
      <c r="C19" s="25">
        <f>Assumptions!$C$65</f>
        <v/>
      </c>
      <c r="D19" s="25">
        <f>Assumptions!$C$65</f>
        <v/>
      </c>
      <c r="E19" s="25">
        <f>Assumptions!$C$65</f>
        <v/>
      </c>
      <c r="F19" s="25">
        <f>Assumptions!$C$65</f>
        <v/>
      </c>
      <c r="G19" s="25">
        <f>Assumptions!$C$65</f>
        <v/>
      </c>
      <c r="H19" s="25">
        <f>Assumptions!$C$65</f>
        <v/>
      </c>
      <c r="I19" s="25">
        <f>Assumptions!$C$65</f>
        <v/>
      </c>
      <c r="J19" s="25">
        <f>Assumptions!$C$65</f>
        <v/>
      </c>
      <c r="K19" s="25">
        <f>Assumptions!$C$65</f>
        <v/>
      </c>
      <c r="L19" s="25">
        <f>Assumptions!$C$65</f>
        <v/>
      </c>
      <c r="M19" s="25">
        <f>Assumptions!$C$65</f>
        <v/>
      </c>
      <c r="N19" s="25">
        <f>SUM(B19:M19)</f>
        <v/>
      </c>
    </row>
    <row r="20">
      <c r="A20" s="5" t="inlineStr">
        <is>
          <t>Financial analyst</t>
        </is>
      </c>
      <c r="B20" s="25">
        <f>Assumptions!$C$66</f>
        <v/>
      </c>
      <c r="C20" s="25">
        <f>Assumptions!$C$66</f>
        <v/>
      </c>
      <c r="D20" s="25">
        <f>Assumptions!$C$66</f>
        <v/>
      </c>
      <c r="E20" s="25">
        <f>Assumptions!$C$66</f>
        <v/>
      </c>
      <c r="F20" s="25">
        <f>Assumptions!$C$66</f>
        <v/>
      </c>
      <c r="G20" s="25">
        <f>Assumptions!$C$66</f>
        <v/>
      </c>
      <c r="H20" s="25">
        <f>Assumptions!$C$66</f>
        <v/>
      </c>
      <c r="I20" s="25">
        <f>Assumptions!$C$66</f>
        <v/>
      </c>
      <c r="J20" s="25">
        <f>Assumptions!$C$66</f>
        <v/>
      </c>
      <c r="K20" s="25">
        <f>Assumptions!$C$66</f>
        <v/>
      </c>
      <c r="L20" s="25">
        <f>Assumptions!$C$66</f>
        <v/>
      </c>
      <c r="M20" s="25">
        <f>Assumptions!$C$66</f>
        <v/>
      </c>
      <c r="N20" s="25">
        <f>SUM(B20:M20)</f>
        <v/>
      </c>
    </row>
    <row r="21">
      <c r="A21" s="5" t="inlineStr">
        <is>
          <t>Growth hire (from Month 3)</t>
        </is>
      </c>
      <c r="B21" s="25">
        <f>IF(B$4&gt;=Assumptions!$C$68,Assumptions!$C$67,0)</f>
        <v/>
      </c>
      <c r="C21" s="25">
        <f>IF(C$4&gt;=Assumptions!$C$68,Assumptions!$C$67,0)</f>
        <v/>
      </c>
      <c r="D21" s="25">
        <f>IF(D$4&gt;=Assumptions!$C$68,Assumptions!$C$67,0)</f>
        <v/>
      </c>
      <c r="E21" s="25">
        <f>IF(E$4&gt;=Assumptions!$C$68,Assumptions!$C$67,0)</f>
        <v/>
      </c>
      <c r="F21" s="25">
        <f>IF(F$4&gt;=Assumptions!$C$68,Assumptions!$C$67,0)</f>
        <v/>
      </c>
      <c r="G21" s="25">
        <f>IF(G$4&gt;=Assumptions!$C$68,Assumptions!$C$67,0)</f>
        <v/>
      </c>
      <c r="H21" s="25">
        <f>IF(H$4&gt;=Assumptions!$C$68,Assumptions!$C$67,0)</f>
        <v/>
      </c>
      <c r="I21" s="25">
        <f>IF(I$4&gt;=Assumptions!$C$68,Assumptions!$C$67,0)</f>
        <v/>
      </c>
      <c r="J21" s="25">
        <f>IF(J$4&gt;=Assumptions!$C$68,Assumptions!$C$67,0)</f>
        <v/>
      </c>
      <c r="K21" s="25">
        <f>IF(K$4&gt;=Assumptions!$C$68,Assumptions!$C$67,0)</f>
        <v/>
      </c>
      <c r="L21" s="25">
        <f>IF(L$4&gt;=Assumptions!$C$68,Assumptions!$C$67,0)</f>
        <v/>
      </c>
      <c r="M21" s="25">
        <f>IF(M$4&gt;=Assumptions!$C$68,Assumptions!$C$67,0)</f>
        <v/>
      </c>
      <c r="N21" s="25">
        <f>SUM(B21:M21)</f>
        <v/>
      </c>
    </row>
    <row r="22">
      <c r="A22" s="5" t="inlineStr">
        <is>
          <t>Ops hire (from Month 6)</t>
        </is>
      </c>
      <c r="B22" s="25">
        <f>IF(B$4&gt;=Assumptions!$C$70,Assumptions!$C$69,0)</f>
        <v/>
      </c>
      <c r="C22" s="25">
        <f>IF(C$4&gt;=Assumptions!$C$70,Assumptions!$C$69,0)</f>
        <v/>
      </c>
      <c r="D22" s="25">
        <f>IF(D$4&gt;=Assumptions!$C$70,Assumptions!$C$69,0)</f>
        <v/>
      </c>
      <c r="E22" s="25">
        <f>IF(E$4&gt;=Assumptions!$C$70,Assumptions!$C$69,0)</f>
        <v/>
      </c>
      <c r="F22" s="25">
        <f>IF(F$4&gt;=Assumptions!$C$70,Assumptions!$C$69,0)</f>
        <v/>
      </c>
      <c r="G22" s="25">
        <f>IF(G$4&gt;=Assumptions!$C$70,Assumptions!$C$69,0)</f>
        <v/>
      </c>
      <c r="H22" s="25">
        <f>IF(H$4&gt;=Assumptions!$C$70,Assumptions!$C$69,0)</f>
        <v/>
      </c>
      <c r="I22" s="25">
        <f>IF(I$4&gt;=Assumptions!$C$70,Assumptions!$C$69,0)</f>
        <v/>
      </c>
      <c r="J22" s="25">
        <f>IF(J$4&gt;=Assumptions!$C$70,Assumptions!$C$69,0)</f>
        <v/>
      </c>
      <c r="K22" s="25">
        <f>IF(K$4&gt;=Assumptions!$C$70,Assumptions!$C$69,0)</f>
        <v/>
      </c>
      <c r="L22" s="25">
        <f>IF(L$4&gt;=Assumptions!$C$70,Assumptions!$C$69,0)</f>
        <v/>
      </c>
      <c r="M22" s="25">
        <f>IF(M$4&gt;=Assumptions!$C$70,Assumptions!$C$69,0)</f>
        <v/>
      </c>
      <c r="N22" s="25">
        <f>SUM(B22:M22)</f>
        <v/>
      </c>
    </row>
    <row r="23">
      <c r="A23" s="19" t="inlineStr">
        <is>
          <t>Total salaries</t>
        </is>
      </c>
      <c r="B23" s="28">
        <f>SUM(B18:B22)</f>
        <v/>
      </c>
      <c r="C23" s="28">
        <f>SUM(C18:C22)</f>
        <v/>
      </c>
      <c r="D23" s="28">
        <f>SUM(D18:D22)</f>
        <v/>
      </c>
      <c r="E23" s="28">
        <f>SUM(E18:E22)</f>
        <v/>
      </c>
      <c r="F23" s="28">
        <f>SUM(F18:F22)</f>
        <v/>
      </c>
      <c r="G23" s="28">
        <f>SUM(G18:G22)</f>
        <v/>
      </c>
      <c r="H23" s="28">
        <f>SUM(H18:H22)</f>
        <v/>
      </c>
      <c r="I23" s="28">
        <f>SUM(I18:I22)</f>
        <v/>
      </c>
      <c r="J23" s="28">
        <f>SUM(J18:J22)</f>
        <v/>
      </c>
      <c r="K23" s="28">
        <f>SUM(K18:K22)</f>
        <v/>
      </c>
      <c r="L23" s="28">
        <f>SUM(L18:L22)</f>
        <v/>
      </c>
      <c r="M23" s="28">
        <f>SUM(M18:M22)</f>
        <v/>
      </c>
      <c r="N23" s="28">
        <f>SUM(B23:M23)</f>
        <v/>
      </c>
    </row>
    <row r="25">
      <c r="A25" s="3" t="inlineStr">
        <is>
          <t>Operating expenses — acquisition &amp; marketing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inlineStr">
        <is>
          <t>Generic paid (ads + ambassadors)</t>
        </is>
      </c>
      <c r="B26" s="25">
        <f>Assumptions!$C$19</f>
        <v/>
      </c>
      <c r="C26" s="25">
        <f>Assumptions!$C$19</f>
        <v/>
      </c>
      <c r="D26" s="25">
        <f>Assumptions!$C$19</f>
        <v/>
      </c>
      <c r="E26" s="25">
        <f>Assumptions!$C$19</f>
        <v/>
      </c>
      <c r="F26" s="25">
        <f>Assumptions!$C$19</f>
        <v/>
      </c>
      <c r="G26" s="25">
        <f>Assumptions!$C$19</f>
        <v/>
      </c>
      <c r="H26" s="25">
        <f>Assumptions!$C$19</f>
        <v/>
      </c>
      <c r="I26" s="25">
        <f>Assumptions!$C$19</f>
        <v/>
      </c>
      <c r="J26" s="25">
        <f>Assumptions!$C$19</f>
        <v/>
      </c>
      <c r="K26" s="25">
        <f>Assumptions!$C$19</f>
        <v/>
      </c>
      <c r="L26" s="25">
        <f>Assumptions!$C$19</f>
        <v/>
      </c>
      <c r="M26" s="25">
        <f>Assumptions!$C$19</f>
        <v/>
      </c>
      <c r="N26" s="25">
        <f>SUM(B26:M26)</f>
        <v/>
      </c>
    </row>
    <row r="27">
      <c r="A27" s="5" t="inlineStr">
        <is>
          <t>Creator-partnership spend</t>
        </is>
      </c>
      <c r="B27" s="25">
        <f>IF(B$4&lt;Assumptions!$C$28,0,IF(B$4&lt;Assumptions!$C$32,Assumptions!$C$31,Assumptions!$C$33))*Assumptions!$C$29</f>
        <v/>
      </c>
      <c r="C27" s="25">
        <f>IF(C$4&lt;Assumptions!$C$28,0,IF(C$4&lt;Assumptions!$C$32,Assumptions!$C$31,Assumptions!$C$33))*Assumptions!$C$29</f>
        <v/>
      </c>
      <c r="D27" s="25">
        <f>IF(D$4&lt;Assumptions!$C$28,0,IF(D$4&lt;Assumptions!$C$32,Assumptions!$C$31,Assumptions!$C$33))*Assumptions!$C$29</f>
        <v/>
      </c>
      <c r="E27" s="25">
        <f>IF(E$4&lt;Assumptions!$C$28,0,IF(E$4&lt;Assumptions!$C$32,Assumptions!$C$31,Assumptions!$C$33))*Assumptions!$C$29</f>
        <v/>
      </c>
      <c r="F27" s="25">
        <f>IF(F$4&lt;Assumptions!$C$28,0,IF(F$4&lt;Assumptions!$C$32,Assumptions!$C$31,Assumptions!$C$33))*Assumptions!$C$29</f>
        <v/>
      </c>
      <c r="G27" s="25">
        <f>IF(G$4&lt;Assumptions!$C$28,0,IF(G$4&lt;Assumptions!$C$32,Assumptions!$C$31,Assumptions!$C$33))*Assumptions!$C$29</f>
        <v/>
      </c>
      <c r="H27" s="25">
        <f>IF(H$4&lt;Assumptions!$C$28,0,IF(H$4&lt;Assumptions!$C$32,Assumptions!$C$31,Assumptions!$C$33))*Assumptions!$C$29</f>
        <v/>
      </c>
      <c r="I27" s="25">
        <f>IF(I$4&lt;Assumptions!$C$28,0,IF(I$4&lt;Assumptions!$C$32,Assumptions!$C$31,Assumptions!$C$33))*Assumptions!$C$29</f>
        <v/>
      </c>
      <c r="J27" s="25">
        <f>IF(J$4&lt;Assumptions!$C$28,0,IF(J$4&lt;Assumptions!$C$32,Assumptions!$C$31,Assumptions!$C$33))*Assumptions!$C$29</f>
        <v/>
      </c>
      <c r="K27" s="25">
        <f>IF(K$4&lt;Assumptions!$C$28,0,IF(K$4&lt;Assumptions!$C$32,Assumptions!$C$31,Assumptions!$C$33))*Assumptions!$C$29</f>
        <v/>
      </c>
      <c r="L27" s="25">
        <f>IF(L$4&lt;Assumptions!$C$28,0,IF(L$4&lt;Assumptions!$C$32,Assumptions!$C$31,Assumptions!$C$33))*Assumptions!$C$29</f>
        <v/>
      </c>
      <c r="M27" s="25">
        <f>IF(M$4&lt;Assumptions!$C$28,0,IF(M$4&lt;Assumptions!$C$32,Assumptions!$C$31,Assumptions!$C$33))*Assumptions!$C$29</f>
        <v/>
      </c>
      <c r="N27" s="25">
        <f>SUM(B27:M27)</f>
        <v/>
      </c>
    </row>
    <row r="28">
      <c r="A28" s="5" t="inlineStr">
        <is>
          <t>Host-sponsorship spend</t>
        </is>
      </c>
      <c r="B28" s="25">
        <f>IF(B$4&lt;Assumptions!$C$36,0,Assumptions!$C$37)*Assumptions!$C$38</f>
        <v/>
      </c>
      <c r="C28" s="25">
        <f>IF(C$4&lt;Assumptions!$C$36,0,Assumptions!$C$37)*Assumptions!$C$38</f>
        <v/>
      </c>
      <c r="D28" s="25">
        <f>IF(D$4&lt;Assumptions!$C$36,0,Assumptions!$C$37)*Assumptions!$C$38</f>
        <v/>
      </c>
      <c r="E28" s="25">
        <f>IF(E$4&lt;Assumptions!$C$36,0,Assumptions!$C$37)*Assumptions!$C$38</f>
        <v/>
      </c>
      <c r="F28" s="25">
        <f>IF(F$4&lt;Assumptions!$C$36,0,Assumptions!$C$37)*Assumptions!$C$38</f>
        <v/>
      </c>
      <c r="G28" s="25">
        <f>IF(G$4&lt;Assumptions!$C$36,0,Assumptions!$C$37)*Assumptions!$C$38</f>
        <v/>
      </c>
      <c r="H28" s="25">
        <f>IF(H$4&lt;Assumptions!$C$36,0,Assumptions!$C$37)*Assumptions!$C$38</f>
        <v/>
      </c>
      <c r="I28" s="25">
        <f>IF(I$4&lt;Assumptions!$C$36,0,Assumptions!$C$37)*Assumptions!$C$38</f>
        <v/>
      </c>
      <c r="J28" s="25">
        <f>IF(J$4&lt;Assumptions!$C$36,0,Assumptions!$C$37)*Assumptions!$C$38</f>
        <v/>
      </c>
      <c r="K28" s="25">
        <f>IF(K$4&lt;Assumptions!$C$36,0,Assumptions!$C$37)*Assumptions!$C$38</f>
        <v/>
      </c>
      <c r="L28" s="25">
        <f>IF(L$4&lt;Assumptions!$C$36,0,Assumptions!$C$37)*Assumptions!$C$38</f>
        <v/>
      </c>
      <c r="M28" s="25">
        <f>IF(M$4&lt;Assumptions!$C$36,0,Assumptions!$C$37)*Assumptions!$C$38</f>
        <v/>
      </c>
      <c r="N28" s="25">
        <f>SUM(B28:M28)</f>
        <v/>
      </c>
    </row>
    <row r="29">
      <c r="A29" s="19" t="inlineStr">
        <is>
          <t>Total acquisition &amp; marketing</t>
        </is>
      </c>
      <c r="B29" s="28">
        <f>B26+B27+B28</f>
        <v/>
      </c>
      <c r="C29" s="28">
        <f>C26+C27+C28</f>
        <v/>
      </c>
      <c r="D29" s="28">
        <f>D26+D27+D28</f>
        <v/>
      </c>
      <c r="E29" s="28">
        <f>E26+E27+E28</f>
        <v/>
      </c>
      <c r="F29" s="28">
        <f>F26+F27+F28</f>
        <v/>
      </c>
      <c r="G29" s="28">
        <f>G26+G27+G28</f>
        <v/>
      </c>
      <c r="H29" s="28">
        <f>H26+H27+H28</f>
        <v/>
      </c>
      <c r="I29" s="28">
        <f>I26+I27+I28</f>
        <v/>
      </c>
      <c r="J29" s="28">
        <f>J26+J27+J28</f>
        <v/>
      </c>
      <c r="K29" s="28">
        <f>K26+K27+K28</f>
        <v/>
      </c>
      <c r="L29" s="28">
        <f>L26+L27+L28</f>
        <v/>
      </c>
      <c r="M29" s="28">
        <f>M26+M27+M28</f>
        <v/>
      </c>
      <c r="N29" s="28">
        <f>SUM(B29:M29)</f>
        <v/>
      </c>
    </row>
    <row r="31">
      <c r="A31" s="3" t="inlineStr">
        <is>
          <t>Operating expenses — other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inlineStr">
        <is>
          <t>Other recurring opex</t>
        </is>
      </c>
      <c r="B32" s="25">
        <f>Assumptions!$C$71</f>
        <v/>
      </c>
      <c r="C32" s="25">
        <f>Assumptions!$C$71</f>
        <v/>
      </c>
      <c r="D32" s="25">
        <f>Assumptions!$C$71</f>
        <v/>
      </c>
      <c r="E32" s="25">
        <f>Assumptions!$C$71</f>
        <v/>
      </c>
      <c r="F32" s="25">
        <f>Assumptions!$C$71</f>
        <v/>
      </c>
      <c r="G32" s="25">
        <f>Assumptions!$C$71</f>
        <v/>
      </c>
      <c r="H32" s="25">
        <f>Assumptions!$C$71</f>
        <v/>
      </c>
      <c r="I32" s="25">
        <f>Assumptions!$C$71</f>
        <v/>
      </c>
      <c r="J32" s="25">
        <f>Assumptions!$C$71</f>
        <v/>
      </c>
      <c r="K32" s="25">
        <f>Assumptions!$C$71</f>
        <v/>
      </c>
      <c r="L32" s="25">
        <f>Assumptions!$C$71</f>
        <v/>
      </c>
      <c r="M32" s="25">
        <f>Assumptions!$C$71</f>
        <v/>
      </c>
      <c r="N32" s="25">
        <f>SUM(B32:M32)</f>
        <v/>
      </c>
    </row>
    <row r="33">
      <c r="A33" s="5" t="inlineStr">
        <is>
          <t>One-time: 2nd-city launch</t>
        </is>
      </c>
      <c r="B33" s="25">
        <f>IF(B$4=Assumptions!$C$23,Assumptions!$C$24,0)</f>
        <v/>
      </c>
      <c r="C33" s="25">
        <f>IF(C$4=Assumptions!$C$23,Assumptions!$C$24,0)</f>
        <v/>
      </c>
      <c r="D33" s="25">
        <f>IF(D$4=Assumptions!$C$23,Assumptions!$C$24,0)</f>
        <v/>
      </c>
      <c r="E33" s="25">
        <f>IF(E$4=Assumptions!$C$23,Assumptions!$C$24,0)</f>
        <v/>
      </c>
      <c r="F33" s="25">
        <f>IF(F$4=Assumptions!$C$23,Assumptions!$C$24,0)</f>
        <v/>
      </c>
      <c r="G33" s="25">
        <f>IF(G$4=Assumptions!$C$23,Assumptions!$C$24,0)</f>
        <v/>
      </c>
      <c r="H33" s="25">
        <f>IF(H$4=Assumptions!$C$23,Assumptions!$C$24,0)</f>
        <v/>
      </c>
      <c r="I33" s="25">
        <f>IF(I$4=Assumptions!$C$23,Assumptions!$C$24,0)</f>
        <v/>
      </c>
      <c r="J33" s="25">
        <f>IF(J$4=Assumptions!$C$23,Assumptions!$C$24,0)</f>
        <v/>
      </c>
      <c r="K33" s="25">
        <f>IF(K$4=Assumptions!$C$23,Assumptions!$C$24,0)</f>
        <v/>
      </c>
      <c r="L33" s="25">
        <f>IF(L$4=Assumptions!$C$23,Assumptions!$C$24,0)</f>
        <v/>
      </c>
      <c r="M33" s="25">
        <f>IF(M$4=Assumptions!$C$23,Assumptions!$C$24,0)</f>
        <v/>
      </c>
      <c r="N33" s="25">
        <f>SUM(B33:M33)</f>
        <v/>
      </c>
    </row>
    <row r="34">
      <c r="A34" s="29" t="inlineStr">
        <is>
          <t>Total Operating Expenses</t>
        </is>
      </c>
      <c r="B34" s="30">
        <f>B23+B29+B32+B33</f>
        <v/>
      </c>
      <c r="C34" s="30">
        <f>C23+C29+C32+C33</f>
        <v/>
      </c>
      <c r="D34" s="30">
        <f>D23+D29+D32+D33</f>
        <v/>
      </c>
      <c r="E34" s="30">
        <f>E23+E29+E32+E33</f>
        <v/>
      </c>
      <c r="F34" s="30">
        <f>F23+F29+F32+F33</f>
        <v/>
      </c>
      <c r="G34" s="30">
        <f>G23+G29+G32+G33</f>
        <v/>
      </c>
      <c r="H34" s="30">
        <f>H23+H29+H32+H33</f>
        <v/>
      </c>
      <c r="I34" s="30">
        <f>I23+I29+I32+I33</f>
        <v/>
      </c>
      <c r="J34" s="30">
        <f>J23+J29+J32+J33</f>
        <v/>
      </c>
      <c r="K34" s="30">
        <f>K23+K29+K32+K33</f>
        <v/>
      </c>
      <c r="L34" s="30">
        <f>L23+L29+L32+L33</f>
        <v/>
      </c>
      <c r="M34" s="30">
        <f>M23+M29+M32+M33</f>
        <v/>
      </c>
      <c r="N34" s="30">
        <f>SUM(B34:M34)</f>
        <v/>
      </c>
    </row>
    <row r="36">
      <c r="A36" s="3" t="inlineStr">
        <is>
          <t>Profitability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19" t="inlineStr">
        <is>
          <t>EBITDA</t>
        </is>
      </c>
      <c r="B37" s="28">
        <f>B14-B34</f>
        <v/>
      </c>
      <c r="C37" s="28">
        <f>C14-C34</f>
        <v/>
      </c>
      <c r="D37" s="28">
        <f>D14-D34</f>
        <v/>
      </c>
      <c r="E37" s="28">
        <f>E14-E34</f>
        <v/>
      </c>
      <c r="F37" s="28">
        <f>F14-F34</f>
        <v/>
      </c>
      <c r="G37" s="28">
        <f>G14-G34</f>
        <v/>
      </c>
      <c r="H37" s="28">
        <f>H14-H34</f>
        <v/>
      </c>
      <c r="I37" s="28">
        <f>I14-I34</f>
        <v/>
      </c>
      <c r="J37" s="28">
        <f>J14-J34</f>
        <v/>
      </c>
      <c r="K37" s="28">
        <f>K14-K34</f>
        <v/>
      </c>
      <c r="L37" s="28">
        <f>L14-L34</f>
        <v/>
      </c>
      <c r="M37" s="28">
        <f>M14-M34</f>
        <v/>
      </c>
      <c r="N37" s="28">
        <f>SUM(B37:M37)</f>
        <v/>
      </c>
    </row>
    <row r="38">
      <c r="A38" s="17" t="inlineStr">
        <is>
          <t>EBITDA Margin %</t>
        </is>
      </c>
      <c r="B38" s="21">
        <f>IFERROR(B37/B10,"")</f>
        <v/>
      </c>
      <c r="C38" s="21">
        <f>IFERROR(C37/C10,"")</f>
        <v/>
      </c>
      <c r="D38" s="21">
        <f>IFERROR(D37/D10,"")</f>
        <v/>
      </c>
      <c r="E38" s="21">
        <f>IFERROR(E37/E10,"")</f>
        <v/>
      </c>
      <c r="F38" s="21">
        <f>IFERROR(F37/F10,"")</f>
        <v/>
      </c>
      <c r="G38" s="21">
        <f>IFERROR(G37/G10,"")</f>
        <v/>
      </c>
      <c r="H38" s="21">
        <f>IFERROR(H37/H10,"")</f>
        <v/>
      </c>
      <c r="I38" s="21">
        <f>IFERROR(I37/I10,"")</f>
        <v/>
      </c>
      <c r="J38" s="21">
        <f>IFERROR(J37/J10,"")</f>
        <v/>
      </c>
      <c r="K38" s="21">
        <f>IFERROR(K37/K10,"")</f>
        <v/>
      </c>
      <c r="L38" s="21">
        <f>IFERROR(L37/L10,"")</f>
        <v/>
      </c>
      <c r="M38" s="21">
        <f>IFERROR(M37/M10,"")</f>
        <v/>
      </c>
      <c r="N38" s="21" t="n"/>
    </row>
    <row r="40">
      <c r="A40" s="3" t="inlineStr">
        <is>
          <t>Memo — YC AI Stack credits (non-cash, nets to zero)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17" t="inlineStr">
        <is>
          <t>Infrastructure cost, in-kind</t>
        </is>
      </c>
      <c r="B41" s="25">
        <f>Assumptions!$C$77+(Assumptions!$C$78-Assumptions!$C$77)*(B$4-1)/11</f>
        <v/>
      </c>
      <c r="C41" s="25">
        <f>Assumptions!$C$77+(Assumptions!$C$78-Assumptions!$C$77)*(C$4-1)/11</f>
        <v/>
      </c>
      <c r="D41" s="25">
        <f>Assumptions!$C$77+(Assumptions!$C$78-Assumptions!$C$77)*(D$4-1)/11</f>
        <v/>
      </c>
      <c r="E41" s="25">
        <f>Assumptions!$C$77+(Assumptions!$C$78-Assumptions!$C$77)*(E$4-1)/11</f>
        <v/>
      </c>
      <c r="F41" s="25">
        <f>Assumptions!$C$77+(Assumptions!$C$78-Assumptions!$C$77)*(F$4-1)/11</f>
        <v/>
      </c>
      <c r="G41" s="25">
        <f>Assumptions!$C$77+(Assumptions!$C$78-Assumptions!$C$77)*(G$4-1)/11</f>
        <v/>
      </c>
      <c r="H41" s="25">
        <f>Assumptions!$C$77+(Assumptions!$C$78-Assumptions!$C$77)*(H$4-1)/11</f>
        <v/>
      </c>
      <c r="I41" s="25">
        <f>Assumptions!$C$77+(Assumptions!$C$78-Assumptions!$C$77)*(I$4-1)/11</f>
        <v/>
      </c>
      <c r="J41" s="25">
        <f>Assumptions!$C$77+(Assumptions!$C$78-Assumptions!$C$77)*(J$4-1)/11</f>
        <v/>
      </c>
      <c r="K41" s="25">
        <f>Assumptions!$C$77+(Assumptions!$C$78-Assumptions!$C$77)*(K$4-1)/11</f>
        <v/>
      </c>
      <c r="L41" s="25">
        <f>Assumptions!$C$77+(Assumptions!$C$78-Assumptions!$C$77)*(L$4-1)/11</f>
        <v/>
      </c>
      <c r="M41" s="25">
        <f>Assumptions!$C$77+(Assumptions!$C$78-Assumptions!$C$77)*(M$4-1)/11</f>
        <v/>
      </c>
      <c r="N41" s="25" t="n"/>
    </row>
    <row r="42">
      <c r="A42" s="17" t="inlineStr">
        <is>
          <t>Grant income recognized</t>
        </is>
      </c>
      <c r="B42" s="25">
        <f>B41</f>
        <v/>
      </c>
      <c r="C42" s="25">
        <f>C41</f>
        <v/>
      </c>
      <c r="D42" s="25">
        <f>D41</f>
        <v/>
      </c>
      <c r="E42" s="25">
        <f>E41</f>
        <v/>
      </c>
      <c r="F42" s="25">
        <f>F41</f>
        <v/>
      </c>
      <c r="G42" s="25">
        <f>G41</f>
        <v/>
      </c>
      <c r="H42" s="25">
        <f>H41</f>
        <v/>
      </c>
      <c r="I42" s="25">
        <f>I41</f>
        <v/>
      </c>
      <c r="J42" s="25">
        <f>J41</f>
        <v/>
      </c>
      <c r="K42" s="25">
        <f>K41</f>
        <v/>
      </c>
      <c r="L42" s="25">
        <f>L41</f>
        <v/>
      </c>
      <c r="M42" s="25">
        <f>M41</f>
        <v/>
      </c>
      <c r="N42" s="25" t="n"/>
    </row>
    <row r="43">
      <c r="A43" s="17" t="inlineStr">
        <is>
          <t>Net P&amp;L impact of YC credits</t>
        </is>
      </c>
      <c r="B43" s="25">
        <f>B42-B41</f>
        <v/>
      </c>
      <c r="C43" s="25">
        <f>C42-C41</f>
        <v/>
      </c>
      <c r="D43" s="25">
        <f>D42-D41</f>
        <v/>
      </c>
      <c r="E43" s="25">
        <f>E42-E41</f>
        <v/>
      </c>
      <c r="F43" s="25">
        <f>F42-F41</f>
        <v/>
      </c>
      <c r="G43" s="25">
        <f>G42-G41</f>
        <v/>
      </c>
      <c r="H43" s="25">
        <f>H42-H41</f>
        <v/>
      </c>
      <c r="I43" s="25">
        <f>I42-I41</f>
        <v/>
      </c>
      <c r="J43" s="25">
        <f>J42-J41</f>
        <v/>
      </c>
      <c r="K43" s="25">
        <f>K42-K41</f>
        <v/>
      </c>
      <c r="L43" s="25">
        <f>L42-L41</f>
        <v/>
      </c>
      <c r="M43" s="25">
        <f>M42-M41</f>
        <v/>
      </c>
      <c r="N43" s="25" t="n"/>
    </row>
    <row r="45">
      <c r="A45" s="29" t="inlineStr">
        <is>
          <t>Net Income</t>
        </is>
      </c>
      <c r="B45" s="30">
        <f>B37+B43</f>
        <v/>
      </c>
      <c r="C45" s="30">
        <f>C37+C43</f>
        <v/>
      </c>
      <c r="D45" s="30">
        <f>D37+D43</f>
        <v/>
      </c>
      <c r="E45" s="30">
        <f>E37+E43</f>
        <v/>
      </c>
      <c r="F45" s="30">
        <f>F37+F43</f>
        <v/>
      </c>
      <c r="G45" s="30">
        <f>G37+G43</f>
        <v/>
      </c>
      <c r="H45" s="30">
        <f>H37+H43</f>
        <v/>
      </c>
      <c r="I45" s="30">
        <f>I37+I43</f>
        <v/>
      </c>
      <c r="J45" s="30">
        <f>J37+J43</f>
        <v/>
      </c>
      <c r="K45" s="30">
        <f>K37+K43</f>
        <v/>
      </c>
      <c r="L45" s="30">
        <f>L37+L43</f>
        <v/>
      </c>
      <c r="M45" s="30">
        <f>M37+M43</f>
        <v/>
      </c>
      <c r="N45" s="30">
        <f>SUM(B45:M45)</f>
        <v/>
      </c>
    </row>
    <row r="46">
      <c r="A46" s="23" t="inlineStr">
        <is>
          <t>Cumulative Net Income</t>
        </is>
      </c>
      <c r="B46" s="24">
        <f>B45</f>
        <v/>
      </c>
      <c r="C46" s="24">
        <f>B46+C45</f>
        <v/>
      </c>
      <c r="D46" s="24">
        <f>C46+D45</f>
        <v/>
      </c>
      <c r="E46" s="24">
        <f>D46+E45</f>
        <v/>
      </c>
      <c r="F46" s="24">
        <f>E46+F45</f>
        <v/>
      </c>
      <c r="G46" s="24">
        <f>F46+G45</f>
        <v/>
      </c>
      <c r="H46" s="24">
        <f>G46+H45</f>
        <v/>
      </c>
      <c r="I46" s="24">
        <f>H46+I45</f>
        <v/>
      </c>
      <c r="J46" s="24">
        <f>I46+J45</f>
        <v/>
      </c>
      <c r="K46" s="24">
        <f>J46+K45</f>
        <v/>
      </c>
      <c r="L46" s="24">
        <f>K46+L45</f>
        <v/>
      </c>
      <c r="M46" s="24">
        <f>L46+M45</f>
        <v/>
      </c>
      <c r="N46" s="24">
        <f>M46</f>
        <v/>
      </c>
    </row>
    <row r="47">
      <c r="A47" s="17" t="inlineStr">
        <is>
          <t>Profitable flag (helper)</t>
        </is>
      </c>
      <c r="B47" s="27">
        <f>IF(B45&gt;=0,1,0)</f>
        <v/>
      </c>
      <c r="C47" s="27">
        <f>IF(C45&gt;=0,1,0)</f>
        <v/>
      </c>
      <c r="D47" s="27">
        <f>IF(D45&gt;=0,1,0)</f>
        <v/>
      </c>
      <c r="E47" s="27">
        <f>IF(E45&gt;=0,1,0)</f>
        <v/>
      </c>
      <c r="F47" s="27">
        <f>IF(F45&gt;=0,1,0)</f>
        <v/>
      </c>
      <c r="G47" s="27">
        <f>IF(G45&gt;=0,1,0)</f>
        <v/>
      </c>
      <c r="H47" s="27">
        <f>IF(H45&gt;=0,1,0)</f>
        <v/>
      </c>
      <c r="I47" s="27">
        <f>IF(I45&gt;=0,1,0)</f>
        <v/>
      </c>
      <c r="J47" s="27">
        <f>IF(J45&gt;=0,1,0)</f>
        <v/>
      </c>
      <c r="K47" s="27">
        <f>IF(K45&gt;=0,1,0)</f>
        <v/>
      </c>
      <c r="L47" s="27">
        <f>IF(L45&gt;=0,1,0)</f>
        <v/>
      </c>
      <c r="M47" s="27">
        <f>IF(M45&gt;=0,1,0)</f>
        <v/>
      </c>
      <c r="N47" s="2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16" customHeight="1">
      <c r="A1" s="1" t="inlineStr">
        <is>
          <t>Cash Flow Statement</t>
        </is>
      </c>
    </row>
    <row r="2">
      <c r="A2" s="2" t="inlineStr">
        <is>
          <t>Monthly cash flow with founder-loan draws covering any shortfall.</t>
        </is>
      </c>
    </row>
    <row r="4">
      <c r="A4" s="14" t="inlineStr">
        <is>
          <t>(₹000s)</t>
        </is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15" t="inlineStr">
        <is>
          <t>FY1</t>
        </is>
      </c>
    </row>
    <row r="6">
      <c r="A6" s="3" t="inlineStr">
        <is>
          <t>Operating activities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inlineStr">
        <is>
          <t>Net income</t>
        </is>
      </c>
      <c r="B7" s="22">
        <f>'Income Statement'!B45</f>
        <v/>
      </c>
      <c r="C7" s="22">
        <f>'Income Statement'!C45</f>
        <v/>
      </c>
      <c r="D7" s="22">
        <f>'Income Statement'!D45</f>
        <v/>
      </c>
      <c r="E7" s="22">
        <f>'Income Statement'!E45</f>
        <v/>
      </c>
      <c r="F7" s="22">
        <f>'Income Statement'!F45</f>
        <v/>
      </c>
      <c r="G7" s="22">
        <f>'Income Statement'!G45</f>
        <v/>
      </c>
      <c r="H7" s="22">
        <f>'Income Statement'!H45</f>
        <v/>
      </c>
      <c r="I7" s="22">
        <f>'Income Statement'!I45</f>
        <v/>
      </c>
      <c r="J7" s="22">
        <f>'Income Statement'!J45</f>
        <v/>
      </c>
      <c r="K7" s="22">
        <f>'Income Statement'!K45</f>
        <v/>
      </c>
      <c r="L7" s="22">
        <f>'Income Statement'!L45</f>
        <v/>
      </c>
      <c r="M7" s="22">
        <f>'Income Statement'!M45</f>
        <v/>
      </c>
      <c r="N7" s="22">
        <f>SUM(B7:M7)</f>
        <v/>
      </c>
    </row>
    <row r="8">
      <c r="A8" s="17" t="inlineStr">
        <is>
          <t>Non-cash adjustments (YC grant/infra)</t>
        </is>
      </c>
      <c r="B8" s="22">
        <f>'Income Statement'!B43-'Income Statement'!B43</f>
        <v/>
      </c>
      <c r="C8" s="22">
        <f>'Income Statement'!C43-'Income Statement'!C43</f>
        <v/>
      </c>
      <c r="D8" s="22">
        <f>'Income Statement'!D43-'Income Statement'!D43</f>
        <v/>
      </c>
      <c r="E8" s="22">
        <f>'Income Statement'!E43-'Income Statement'!E43</f>
        <v/>
      </c>
      <c r="F8" s="22">
        <f>'Income Statement'!F43-'Income Statement'!F43</f>
        <v/>
      </c>
      <c r="G8" s="22">
        <f>'Income Statement'!G43-'Income Statement'!G43</f>
        <v/>
      </c>
      <c r="H8" s="22">
        <f>'Income Statement'!H43-'Income Statement'!H43</f>
        <v/>
      </c>
      <c r="I8" s="22">
        <f>'Income Statement'!I43-'Income Statement'!I43</f>
        <v/>
      </c>
      <c r="J8" s="22">
        <f>'Income Statement'!J43-'Income Statement'!J43</f>
        <v/>
      </c>
      <c r="K8" s="22">
        <f>'Income Statement'!K43-'Income Statement'!K43</f>
        <v/>
      </c>
      <c r="L8" s="22">
        <f>'Income Statement'!L43-'Income Statement'!L43</f>
        <v/>
      </c>
      <c r="M8" s="22">
        <f>'Income Statement'!M43-'Income Statement'!M43</f>
        <v/>
      </c>
      <c r="N8" s="22">
        <f>SUM(B8:M8)</f>
        <v/>
      </c>
    </row>
    <row r="9">
      <c r="A9" s="19" t="inlineStr">
        <is>
          <t>Cash flow from operations</t>
        </is>
      </c>
      <c r="B9" s="28">
        <f>B7+B8</f>
        <v/>
      </c>
      <c r="C9" s="28">
        <f>C7+C8</f>
        <v/>
      </c>
      <c r="D9" s="28">
        <f>D7+D8</f>
        <v/>
      </c>
      <c r="E9" s="28">
        <f>E7+E8</f>
        <v/>
      </c>
      <c r="F9" s="28">
        <f>F7+F8</f>
        <v/>
      </c>
      <c r="G9" s="28">
        <f>G7+G8</f>
        <v/>
      </c>
      <c r="H9" s="28">
        <f>H7+H8</f>
        <v/>
      </c>
      <c r="I9" s="28">
        <f>I7+I8</f>
        <v/>
      </c>
      <c r="J9" s="28">
        <f>J7+J8</f>
        <v/>
      </c>
      <c r="K9" s="28">
        <f>K7+K8</f>
        <v/>
      </c>
      <c r="L9" s="28">
        <f>L7+L8</f>
        <v/>
      </c>
      <c r="M9" s="28">
        <f>M7+M8</f>
        <v/>
      </c>
      <c r="N9" s="28">
        <f>SUM(B9:M9)</f>
        <v/>
      </c>
    </row>
    <row r="11">
      <c r="A11" s="3" t="inlineStr">
        <is>
          <t>Financing activities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inlineStr">
        <is>
          <t>Beginning cash</t>
        </is>
      </c>
      <c r="B12" s="25">
        <f>Assumptions!$C$81</f>
        <v/>
      </c>
      <c r="C12" s="25">
        <f>B14</f>
        <v/>
      </c>
      <c r="D12" s="25">
        <f>C14</f>
        <v/>
      </c>
      <c r="E12" s="25">
        <f>D14</f>
        <v/>
      </c>
      <c r="F12" s="25">
        <f>E14</f>
        <v/>
      </c>
      <c r="G12" s="25">
        <f>F14</f>
        <v/>
      </c>
      <c r="H12" s="25">
        <f>G14</f>
        <v/>
      </c>
      <c r="I12" s="25">
        <f>H14</f>
        <v/>
      </c>
      <c r="J12" s="25">
        <f>I14</f>
        <v/>
      </c>
      <c r="K12" s="25">
        <f>J14</f>
        <v/>
      </c>
      <c r="L12" s="25">
        <f>K14</f>
        <v/>
      </c>
      <c r="M12" s="25">
        <f>L14</f>
        <v/>
      </c>
      <c r="N12" s="25" t="n"/>
    </row>
    <row r="13">
      <c r="A13" s="23" t="inlineStr">
        <is>
          <t>Founder loan drawn</t>
        </is>
      </c>
      <c r="B13" s="24">
        <f>MAX(0,-(B12+B9))</f>
        <v/>
      </c>
      <c r="C13" s="24">
        <f>MAX(0,-(C12+C9))</f>
        <v/>
      </c>
      <c r="D13" s="24">
        <f>MAX(0,-(D12+D9))</f>
        <v/>
      </c>
      <c r="E13" s="24">
        <f>MAX(0,-(E12+E9))</f>
        <v/>
      </c>
      <c r="F13" s="24">
        <f>MAX(0,-(F12+F9))</f>
        <v/>
      </c>
      <c r="G13" s="24">
        <f>MAX(0,-(G12+G9))</f>
        <v/>
      </c>
      <c r="H13" s="24">
        <f>MAX(0,-(H12+H9))</f>
        <v/>
      </c>
      <c r="I13" s="24">
        <f>MAX(0,-(I12+I9))</f>
        <v/>
      </c>
      <c r="J13" s="24">
        <f>MAX(0,-(J12+J9))</f>
        <v/>
      </c>
      <c r="K13" s="24">
        <f>MAX(0,-(K12+K9))</f>
        <v/>
      </c>
      <c r="L13" s="24">
        <f>MAX(0,-(L12+L9))</f>
        <v/>
      </c>
      <c r="M13" s="24">
        <f>MAX(0,-(M12+M9))</f>
        <v/>
      </c>
      <c r="N13" s="24">
        <f>SUM(B13:M13)</f>
        <v/>
      </c>
    </row>
    <row r="14">
      <c r="A14" s="29" t="inlineStr">
        <is>
          <t>Ending cash</t>
        </is>
      </c>
      <c r="B14" s="30">
        <f>B12+B9+B13</f>
        <v/>
      </c>
      <c r="C14" s="30">
        <f>C12+C9+C13</f>
        <v/>
      </c>
      <c r="D14" s="30">
        <f>D12+D9+D13</f>
        <v/>
      </c>
      <c r="E14" s="30">
        <f>E12+E9+E13</f>
        <v/>
      </c>
      <c r="F14" s="30">
        <f>F12+F9+F13</f>
        <v/>
      </c>
      <c r="G14" s="30">
        <f>G12+G9+G13</f>
        <v/>
      </c>
      <c r="H14" s="30">
        <f>H12+H9+H13</f>
        <v/>
      </c>
      <c r="I14" s="30">
        <f>I12+I9+I13</f>
        <v/>
      </c>
      <c r="J14" s="30">
        <f>J12+J9+J13</f>
        <v/>
      </c>
      <c r="K14" s="30">
        <f>K12+K9+K13</f>
        <v/>
      </c>
      <c r="L14" s="30">
        <f>L12+L9+L13</f>
        <v/>
      </c>
      <c r="M14" s="30">
        <f>M12+M9+M13</f>
        <v/>
      </c>
      <c r="N14" s="30">
        <f>M14</f>
        <v/>
      </c>
    </row>
    <row r="15">
      <c r="A15" s="23" t="inlineStr">
        <is>
          <t>Cumulative founder loan outstanding</t>
        </is>
      </c>
      <c r="B15" s="24">
        <f>B13</f>
        <v/>
      </c>
      <c r="C15" s="24">
        <f>B15+C13</f>
        <v/>
      </c>
      <c r="D15" s="24">
        <f>C15+D13</f>
        <v/>
      </c>
      <c r="E15" s="24">
        <f>D15+E13</f>
        <v/>
      </c>
      <c r="F15" s="24">
        <f>E15+F13</f>
        <v/>
      </c>
      <c r="G15" s="24">
        <f>F15+G13</f>
        <v/>
      </c>
      <c r="H15" s="24">
        <f>G15+H13</f>
        <v/>
      </c>
      <c r="I15" s="24">
        <f>H15+I13</f>
        <v/>
      </c>
      <c r="J15" s="24">
        <f>I15+J13</f>
        <v/>
      </c>
      <c r="K15" s="24">
        <f>J15+K13</f>
        <v/>
      </c>
      <c r="L15" s="24">
        <f>K15+L13</f>
        <v/>
      </c>
      <c r="M15" s="24">
        <f>L15+M13</f>
        <v/>
      </c>
      <c r="N15" s="24">
        <f>M15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16" customHeight="1">
      <c r="A1" s="1" t="inlineStr">
        <is>
          <t>Balance Sheet</t>
        </is>
      </c>
    </row>
    <row r="2">
      <c r="A2" s="2" t="inlineStr">
        <is>
          <t>Monthly snapshot. Assets = Liabilities + Equity in every column (see balance check row).</t>
        </is>
      </c>
    </row>
    <row r="4">
      <c r="A4" s="14" t="inlineStr">
        <is>
          <t>(₹000s)</t>
        </is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15" t="inlineStr">
        <is>
          <t>FY1</t>
        </is>
      </c>
    </row>
    <row r="6">
      <c r="A6" s="3" t="inlineStr">
        <is>
          <t>Assets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inlineStr">
        <is>
          <t>Cash</t>
        </is>
      </c>
      <c r="B7" s="22">
        <f>'Cash Flow'!B14</f>
        <v/>
      </c>
      <c r="C7" s="22">
        <f>'Cash Flow'!C14</f>
        <v/>
      </c>
      <c r="D7" s="22">
        <f>'Cash Flow'!D14</f>
        <v/>
      </c>
      <c r="E7" s="22">
        <f>'Cash Flow'!E14</f>
        <v/>
      </c>
      <c r="F7" s="22">
        <f>'Cash Flow'!F14</f>
        <v/>
      </c>
      <c r="G7" s="22">
        <f>'Cash Flow'!G14</f>
        <v/>
      </c>
      <c r="H7" s="22">
        <f>'Cash Flow'!H14</f>
        <v/>
      </c>
      <c r="I7" s="22">
        <f>'Cash Flow'!I14</f>
        <v/>
      </c>
      <c r="J7" s="22">
        <f>'Cash Flow'!J14</f>
        <v/>
      </c>
      <c r="K7" s="22">
        <f>'Cash Flow'!K14</f>
        <v/>
      </c>
      <c r="L7" s="22">
        <f>'Cash Flow'!L14</f>
        <v/>
      </c>
      <c r="M7" s="22">
        <f>'Cash Flow'!M14</f>
        <v/>
      </c>
      <c r="N7" s="22">
        <f>M7</f>
        <v/>
      </c>
    </row>
    <row r="8">
      <c r="A8" s="17" t="inlineStr">
        <is>
          <t>Infra cost this month</t>
        </is>
      </c>
      <c r="B8" s="22">
        <f>'Income Statement'!B41</f>
        <v/>
      </c>
      <c r="C8" s="22">
        <f>'Income Statement'!C41</f>
        <v/>
      </c>
      <c r="D8" s="22">
        <f>'Income Statement'!D41</f>
        <v/>
      </c>
      <c r="E8" s="22">
        <f>'Income Statement'!E41</f>
        <v/>
      </c>
      <c r="F8" s="22">
        <f>'Income Statement'!F41</f>
        <v/>
      </c>
      <c r="G8" s="22">
        <f>'Income Statement'!G41</f>
        <v/>
      </c>
      <c r="H8" s="22">
        <f>'Income Statement'!H41</f>
        <v/>
      </c>
      <c r="I8" s="22">
        <f>'Income Statement'!I41</f>
        <v/>
      </c>
      <c r="J8" s="22">
        <f>'Income Statement'!J41</f>
        <v/>
      </c>
      <c r="K8" s="22">
        <f>'Income Statement'!K41</f>
        <v/>
      </c>
      <c r="L8" s="22">
        <f>'Income Statement'!L41</f>
        <v/>
      </c>
      <c r="M8" s="22">
        <f>'Income Statement'!M41</f>
        <v/>
      </c>
      <c r="N8" s="22" t="n"/>
    </row>
    <row r="9">
      <c r="A9" s="17" t="inlineStr">
        <is>
          <t>Cumulative YC infra credits used</t>
        </is>
      </c>
      <c r="B9" s="25">
        <f>B8</f>
        <v/>
      </c>
      <c r="C9" s="25">
        <f>B9+C8</f>
        <v/>
      </c>
      <c r="D9" s="25">
        <f>C9+D8</f>
        <v/>
      </c>
      <c r="E9" s="25">
        <f>D9+E8</f>
        <v/>
      </c>
      <c r="F9" s="25">
        <f>E9+F8</f>
        <v/>
      </c>
      <c r="G9" s="25">
        <f>F9+G8</f>
        <v/>
      </c>
      <c r="H9" s="25">
        <f>G9+H8</f>
        <v/>
      </c>
      <c r="I9" s="25">
        <f>H9+I8</f>
        <v/>
      </c>
      <c r="J9" s="25">
        <f>I9+J8</f>
        <v/>
      </c>
      <c r="K9" s="25">
        <f>J9+K8</f>
        <v/>
      </c>
      <c r="L9" s="25">
        <f>K9+L8</f>
        <v/>
      </c>
      <c r="M9" s="25">
        <f>L9+M8</f>
        <v/>
      </c>
      <c r="N9" s="25">
        <f>M9</f>
        <v/>
      </c>
    </row>
    <row r="10">
      <c r="A10" s="5" t="inlineStr">
        <is>
          <t>YC AI Stack credit remaining</t>
        </is>
      </c>
      <c r="B10" s="25">
        <f>Assumptions!$C$76-B9</f>
        <v/>
      </c>
      <c r="C10" s="25">
        <f>Assumptions!$C$76-C9</f>
        <v/>
      </c>
      <c r="D10" s="25">
        <f>Assumptions!$C$76-D9</f>
        <v/>
      </c>
      <c r="E10" s="25">
        <f>Assumptions!$C$76-E9</f>
        <v/>
      </c>
      <c r="F10" s="25">
        <f>Assumptions!$C$76-F9</f>
        <v/>
      </c>
      <c r="G10" s="25">
        <f>Assumptions!$C$76-G9</f>
        <v/>
      </c>
      <c r="H10" s="25">
        <f>Assumptions!$C$76-H9</f>
        <v/>
      </c>
      <c r="I10" s="25">
        <f>Assumptions!$C$76-I9</f>
        <v/>
      </c>
      <c r="J10" s="25">
        <f>Assumptions!$C$76-J9</f>
        <v/>
      </c>
      <c r="K10" s="25">
        <f>Assumptions!$C$76-K9</f>
        <v/>
      </c>
      <c r="L10" s="25">
        <f>Assumptions!$C$76-L9</f>
        <v/>
      </c>
      <c r="M10" s="25">
        <f>Assumptions!$C$76-M9</f>
        <v/>
      </c>
      <c r="N10" s="25">
        <f>M10</f>
        <v/>
      </c>
    </row>
    <row r="11">
      <c r="A11" s="29" t="inlineStr">
        <is>
          <t>Total Assets</t>
        </is>
      </c>
      <c r="B11" s="30">
        <f>B7+B10</f>
        <v/>
      </c>
      <c r="C11" s="30">
        <f>C7+C10</f>
        <v/>
      </c>
      <c r="D11" s="30">
        <f>D7+D10</f>
        <v/>
      </c>
      <c r="E11" s="30">
        <f>E7+E10</f>
        <v/>
      </c>
      <c r="F11" s="30">
        <f>F7+F10</f>
        <v/>
      </c>
      <c r="G11" s="30">
        <f>G7+G10</f>
        <v/>
      </c>
      <c r="H11" s="30">
        <f>H7+H10</f>
        <v/>
      </c>
      <c r="I11" s="30">
        <f>I7+I10</f>
        <v/>
      </c>
      <c r="J11" s="30">
        <f>J7+J10</f>
        <v/>
      </c>
      <c r="K11" s="30">
        <f>K7+K10</f>
        <v/>
      </c>
      <c r="L11" s="30">
        <f>L7+L10</f>
        <v/>
      </c>
      <c r="M11" s="30">
        <f>M7+M10</f>
        <v/>
      </c>
      <c r="N11" s="30">
        <f>M11</f>
        <v/>
      </c>
    </row>
    <row r="13">
      <c r="A13" s="3" t="inlineStr">
        <is>
          <t>Liabilities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inlineStr">
        <is>
          <t>Due to founders (loan)</t>
        </is>
      </c>
      <c r="B14" s="22">
        <f>Assumptions!$C$72+'Cash Flow'!B15</f>
        <v/>
      </c>
      <c r="C14" s="22">
        <f>Assumptions!$C$72+'Cash Flow'!C15</f>
        <v/>
      </c>
      <c r="D14" s="22">
        <f>Assumptions!$C$72+'Cash Flow'!D15</f>
        <v/>
      </c>
      <c r="E14" s="22">
        <f>Assumptions!$C$72+'Cash Flow'!E15</f>
        <v/>
      </c>
      <c r="F14" s="22">
        <f>Assumptions!$C$72+'Cash Flow'!F15</f>
        <v/>
      </c>
      <c r="G14" s="22">
        <f>Assumptions!$C$72+'Cash Flow'!G15</f>
        <v/>
      </c>
      <c r="H14" s="22">
        <f>Assumptions!$C$72+'Cash Flow'!H15</f>
        <v/>
      </c>
      <c r="I14" s="22">
        <f>Assumptions!$C$72+'Cash Flow'!I15</f>
        <v/>
      </c>
      <c r="J14" s="22">
        <f>Assumptions!$C$72+'Cash Flow'!J15</f>
        <v/>
      </c>
      <c r="K14" s="22">
        <f>Assumptions!$C$72+'Cash Flow'!K15</f>
        <v/>
      </c>
      <c r="L14" s="22">
        <f>Assumptions!$C$72+'Cash Flow'!L15</f>
        <v/>
      </c>
      <c r="M14" s="22">
        <f>Assumptions!$C$72+'Cash Flow'!M15</f>
        <v/>
      </c>
      <c r="N14" s="22">
        <f>M14</f>
        <v/>
      </c>
    </row>
    <row r="15">
      <c r="A15" s="5" t="inlineStr">
        <is>
          <t>Deferred YC grant</t>
        </is>
      </c>
      <c r="B15" s="25">
        <f>B10</f>
        <v/>
      </c>
      <c r="C15" s="25">
        <f>C10</f>
        <v/>
      </c>
      <c r="D15" s="25">
        <f>D10</f>
        <v/>
      </c>
      <c r="E15" s="25">
        <f>E10</f>
        <v/>
      </c>
      <c r="F15" s="25">
        <f>F10</f>
        <v/>
      </c>
      <c r="G15" s="25">
        <f>G10</f>
        <v/>
      </c>
      <c r="H15" s="25">
        <f>H10</f>
        <v/>
      </c>
      <c r="I15" s="25">
        <f>I10</f>
        <v/>
      </c>
      <c r="J15" s="25">
        <f>J10</f>
        <v/>
      </c>
      <c r="K15" s="25">
        <f>K10</f>
        <v/>
      </c>
      <c r="L15" s="25">
        <f>L10</f>
        <v/>
      </c>
      <c r="M15" s="25">
        <f>M10</f>
        <v/>
      </c>
      <c r="N15" s="25">
        <f>M15</f>
        <v/>
      </c>
    </row>
    <row r="16">
      <c r="A16" s="29" t="inlineStr">
        <is>
          <t>Total Liabilities</t>
        </is>
      </c>
      <c r="B16" s="30">
        <f>B14+B15</f>
        <v/>
      </c>
      <c r="C16" s="30">
        <f>C14+C15</f>
        <v/>
      </c>
      <c r="D16" s="30">
        <f>D14+D15</f>
        <v/>
      </c>
      <c r="E16" s="30">
        <f>E14+E15</f>
        <v/>
      </c>
      <c r="F16" s="30">
        <f>F14+F15</f>
        <v/>
      </c>
      <c r="G16" s="30">
        <f>G14+G15</f>
        <v/>
      </c>
      <c r="H16" s="30">
        <f>H14+H15</f>
        <v/>
      </c>
      <c r="I16" s="30">
        <f>I14+I15</f>
        <v/>
      </c>
      <c r="J16" s="30">
        <f>J14+J15</f>
        <v/>
      </c>
      <c r="K16" s="30">
        <f>K14+K15</f>
        <v/>
      </c>
      <c r="L16" s="30">
        <f>L14+L15</f>
        <v/>
      </c>
      <c r="M16" s="30">
        <f>M14+M15</f>
        <v/>
      </c>
      <c r="N16" s="30">
        <f>M16</f>
        <v/>
      </c>
    </row>
    <row r="18">
      <c r="A18" s="3" t="inlineStr">
        <is>
          <t>Equity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inlineStr">
        <is>
          <t>Paid-in capital</t>
        </is>
      </c>
      <c r="B19" s="25">
        <f>Assumptions!$C$82</f>
        <v/>
      </c>
      <c r="C19" s="25">
        <f>Assumptions!$C$82</f>
        <v/>
      </c>
      <c r="D19" s="25">
        <f>Assumptions!$C$82</f>
        <v/>
      </c>
      <c r="E19" s="25">
        <f>Assumptions!$C$82</f>
        <v/>
      </c>
      <c r="F19" s="25">
        <f>Assumptions!$C$82</f>
        <v/>
      </c>
      <c r="G19" s="25">
        <f>Assumptions!$C$82</f>
        <v/>
      </c>
      <c r="H19" s="25">
        <f>Assumptions!$C$82</f>
        <v/>
      </c>
      <c r="I19" s="25">
        <f>Assumptions!$C$82</f>
        <v/>
      </c>
      <c r="J19" s="25">
        <f>Assumptions!$C$82</f>
        <v/>
      </c>
      <c r="K19" s="25">
        <f>Assumptions!$C$82</f>
        <v/>
      </c>
      <c r="L19" s="25">
        <f>Assumptions!$C$82</f>
        <v/>
      </c>
      <c r="M19" s="25">
        <f>Assumptions!$C$82</f>
        <v/>
      </c>
      <c r="N19" s="25" t="n"/>
    </row>
    <row r="20">
      <c r="A20" s="5" t="inlineStr">
        <is>
          <t>Accumulated deficit</t>
        </is>
      </c>
      <c r="B20" s="22">
        <f>-Assumptions!$C$72+'Income Statement'!B46</f>
        <v/>
      </c>
      <c r="C20" s="22">
        <f>-Assumptions!$C$72+'Income Statement'!C46</f>
        <v/>
      </c>
      <c r="D20" s="22">
        <f>-Assumptions!$C$72+'Income Statement'!D46</f>
        <v/>
      </c>
      <c r="E20" s="22">
        <f>-Assumptions!$C$72+'Income Statement'!E46</f>
        <v/>
      </c>
      <c r="F20" s="22">
        <f>-Assumptions!$C$72+'Income Statement'!F46</f>
        <v/>
      </c>
      <c r="G20" s="22">
        <f>-Assumptions!$C$72+'Income Statement'!G46</f>
        <v/>
      </c>
      <c r="H20" s="22">
        <f>-Assumptions!$C$72+'Income Statement'!H46</f>
        <v/>
      </c>
      <c r="I20" s="22">
        <f>-Assumptions!$C$72+'Income Statement'!I46</f>
        <v/>
      </c>
      <c r="J20" s="22">
        <f>-Assumptions!$C$72+'Income Statement'!J46</f>
        <v/>
      </c>
      <c r="K20" s="22">
        <f>-Assumptions!$C$72+'Income Statement'!K46</f>
        <v/>
      </c>
      <c r="L20" s="22">
        <f>-Assumptions!$C$72+'Income Statement'!L46</f>
        <v/>
      </c>
      <c r="M20" s="22">
        <f>-Assumptions!$C$72+'Income Statement'!M46</f>
        <v/>
      </c>
      <c r="N20" s="22">
        <f>M20</f>
        <v/>
      </c>
    </row>
    <row r="21">
      <c r="A21" s="29" t="inlineStr">
        <is>
          <t>Total Equity</t>
        </is>
      </c>
      <c r="B21" s="30">
        <f>B19+B20</f>
        <v/>
      </c>
      <c r="C21" s="30">
        <f>C19+C20</f>
        <v/>
      </c>
      <c r="D21" s="30">
        <f>D19+D20</f>
        <v/>
      </c>
      <c r="E21" s="30">
        <f>E19+E20</f>
        <v/>
      </c>
      <c r="F21" s="30">
        <f>F19+F20</f>
        <v/>
      </c>
      <c r="G21" s="30">
        <f>G19+G20</f>
        <v/>
      </c>
      <c r="H21" s="30">
        <f>H19+H20</f>
        <v/>
      </c>
      <c r="I21" s="30">
        <f>I19+I20</f>
        <v/>
      </c>
      <c r="J21" s="30">
        <f>J19+J20</f>
        <v/>
      </c>
      <c r="K21" s="30">
        <f>K19+K20</f>
        <v/>
      </c>
      <c r="L21" s="30">
        <f>L19+L20</f>
        <v/>
      </c>
      <c r="M21" s="30">
        <f>M19+M20</f>
        <v/>
      </c>
      <c r="N21" s="30">
        <f>M21</f>
        <v/>
      </c>
    </row>
    <row r="23">
      <c r="A23" s="17" t="inlineStr">
        <is>
          <t>Balance check (Assets − Liab − Equity)</t>
        </is>
      </c>
      <c r="B23" s="25">
        <f>B11-B16-B21</f>
        <v/>
      </c>
      <c r="C23" s="25">
        <f>C11-C16-C21</f>
        <v/>
      </c>
      <c r="D23" s="25">
        <f>D11-D16-D21</f>
        <v/>
      </c>
      <c r="E23" s="25">
        <f>E11-E16-E21</f>
        <v/>
      </c>
      <c r="F23" s="25">
        <f>F11-F16-F21</f>
        <v/>
      </c>
      <c r="G23" s="25">
        <f>G11-G16-G21</f>
        <v/>
      </c>
      <c r="H23" s="25">
        <f>H11-H16-H21</f>
        <v/>
      </c>
      <c r="I23" s="25">
        <f>I11-I16-I21</f>
        <v/>
      </c>
      <c r="J23" s="25">
        <f>J11-J16-J21</f>
        <v/>
      </c>
      <c r="K23" s="25">
        <f>K11-K16-K21</f>
        <v/>
      </c>
      <c r="L23" s="25">
        <f>L11-L16-L21</f>
        <v/>
      </c>
      <c r="M23" s="25">
        <f>M11-M16-M21</f>
        <v/>
      </c>
      <c r="N23" s="25">
        <f>M23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16" customHeight="1">
      <c r="A1" s="1" t="inlineStr">
        <is>
          <t>Unit Economics &amp; Break-Even</t>
        </is>
      </c>
    </row>
    <row r="2">
      <c r="A2" s="2" t="inlineStr">
        <is>
          <t>ARPU, CAC, LTV, payback, and the monthly gap to break-even.</t>
        </is>
      </c>
    </row>
    <row r="4">
      <c r="A4" s="14" t="inlineStr">
        <is>
          <t>(₹000s)</t>
        </is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15" t="inlineStr">
        <is>
          <t>FY1</t>
        </is>
      </c>
    </row>
    <row r="6">
      <c r="A6" s="3" t="inlineStr">
        <is>
          <t>Unit economics (per active user)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inlineStr">
        <is>
          <t>ARPU / month</t>
        </is>
      </c>
      <c r="B7" s="31">
        <f>IFERROR('Income Statement'!B10/'Users &amp; Growth'!B16,"")</f>
        <v/>
      </c>
      <c r="C7" s="31">
        <f>IFERROR('Income Statement'!C10/'Users &amp; Growth'!C16,"")</f>
        <v/>
      </c>
      <c r="D7" s="31">
        <f>IFERROR('Income Statement'!D10/'Users &amp; Growth'!D16,"")</f>
        <v/>
      </c>
      <c r="E7" s="31">
        <f>IFERROR('Income Statement'!E10/'Users &amp; Growth'!E16,"")</f>
        <v/>
      </c>
      <c r="F7" s="31">
        <f>IFERROR('Income Statement'!F10/'Users &amp; Growth'!F16,"")</f>
        <v/>
      </c>
      <c r="G7" s="31">
        <f>IFERROR('Income Statement'!G10/'Users &amp; Growth'!G16,"")</f>
        <v/>
      </c>
      <c r="H7" s="31">
        <f>IFERROR('Income Statement'!H10/'Users &amp; Growth'!H16,"")</f>
        <v/>
      </c>
      <c r="I7" s="31">
        <f>IFERROR('Income Statement'!I10/'Users &amp; Growth'!I16,"")</f>
        <v/>
      </c>
      <c r="J7" s="31">
        <f>IFERROR('Income Statement'!J10/'Users &amp; Growth'!J16,"")</f>
        <v/>
      </c>
      <c r="K7" s="31">
        <f>IFERROR('Income Statement'!K10/'Users &amp; Growth'!K16,"")</f>
        <v/>
      </c>
      <c r="L7" s="31">
        <f>IFERROR('Income Statement'!L10/'Users &amp; Growth'!L16,"")</f>
        <v/>
      </c>
      <c r="M7" s="31">
        <f>IFERROR('Income Statement'!M10/'Users &amp; Growth'!M16,"")</f>
        <v/>
      </c>
      <c r="N7" s="31" t="n"/>
    </row>
    <row r="8">
      <c r="A8" s="5" t="inlineStr">
        <is>
          <t>Gross profit / active user / month</t>
        </is>
      </c>
      <c r="B8" s="31">
        <f>IFERROR('Income Statement'!B14/'Users &amp; Growth'!B16,"")</f>
        <v/>
      </c>
      <c r="C8" s="31">
        <f>IFERROR('Income Statement'!C14/'Users &amp; Growth'!C16,"")</f>
        <v/>
      </c>
      <c r="D8" s="31">
        <f>IFERROR('Income Statement'!D14/'Users &amp; Growth'!D16,"")</f>
        <v/>
      </c>
      <c r="E8" s="31">
        <f>IFERROR('Income Statement'!E14/'Users &amp; Growth'!E16,"")</f>
        <v/>
      </c>
      <c r="F8" s="31">
        <f>IFERROR('Income Statement'!F14/'Users &amp; Growth'!F16,"")</f>
        <v/>
      </c>
      <c r="G8" s="31">
        <f>IFERROR('Income Statement'!G14/'Users &amp; Growth'!G16,"")</f>
        <v/>
      </c>
      <c r="H8" s="31">
        <f>IFERROR('Income Statement'!H14/'Users &amp; Growth'!H16,"")</f>
        <v/>
      </c>
      <c r="I8" s="31">
        <f>IFERROR('Income Statement'!I14/'Users &amp; Growth'!I16,"")</f>
        <v/>
      </c>
      <c r="J8" s="31">
        <f>IFERROR('Income Statement'!J14/'Users &amp; Growth'!J16,"")</f>
        <v/>
      </c>
      <c r="K8" s="31">
        <f>IFERROR('Income Statement'!K14/'Users &amp; Growth'!K16,"")</f>
        <v/>
      </c>
      <c r="L8" s="31">
        <f>IFERROR('Income Statement'!L14/'Users &amp; Growth'!L16,"")</f>
        <v/>
      </c>
      <c r="M8" s="31">
        <f>IFERROR('Income Statement'!M14/'Users &amp; Growth'!M16,"")</f>
        <v/>
      </c>
      <c r="N8" s="31" t="n"/>
    </row>
    <row r="9">
      <c r="A9" s="17" t="inlineStr">
        <is>
          <t>Avg customer lifetime, months = 1÷churn (phased)</t>
        </is>
      </c>
      <c r="B9" s="16">
        <f>1/IF(B$4&gt;=Assumptions!$C$90,Assumptions!$C$93,Assumptions!$C$42)</f>
        <v/>
      </c>
      <c r="C9" s="16">
        <f>1/IF(C$4&gt;=Assumptions!$C$90,Assumptions!$C$93,Assumptions!$C$42)</f>
        <v/>
      </c>
      <c r="D9" s="16">
        <f>1/IF(D$4&gt;=Assumptions!$C$90,Assumptions!$C$93,Assumptions!$C$42)</f>
        <v/>
      </c>
      <c r="E9" s="16">
        <f>1/IF(E$4&gt;=Assumptions!$C$90,Assumptions!$C$93,Assumptions!$C$42)</f>
        <v/>
      </c>
      <c r="F9" s="16">
        <f>1/IF(F$4&gt;=Assumptions!$C$90,Assumptions!$C$93,Assumptions!$C$42)</f>
        <v/>
      </c>
      <c r="G9" s="16">
        <f>1/IF(G$4&gt;=Assumptions!$C$90,Assumptions!$C$93,Assumptions!$C$42)</f>
        <v/>
      </c>
      <c r="H9" s="16">
        <f>1/IF(H$4&gt;=Assumptions!$C$90,Assumptions!$C$93,Assumptions!$C$42)</f>
        <v/>
      </c>
      <c r="I9" s="16">
        <f>1/IF(I$4&gt;=Assumptions!$C$90,Assumptions!$C$93,Assumptions!$C$42)</f>
        <v/>
      </c>
      <c r="J9" s="16">
        <f>1/IF(J$4&gt;=Assumptions!$C$90,Assumptions!$C$93,Assumptions!$C$42)</f>
        <v/>
      </c>
      <c r="K9" s="16">
        <f>1/IF(K$4&gt;=Assumptions!$C$90,Assumptions!$C$93,Assumptions!$C$42)</f>
        <v/>
      </c>
      <c r="L9" s="16">
        <f>1/IF(L$4&gt;=Assumptions!$C$90,Assumptions!$C$93,Assumptions!$C$42)</f>
        <v/>
      </c>
      <c r="M9" s="16">
        <f>1/IF(M$4&gt;=Assumptions!$C$90,Assumptions!$C$93,Assumptions!$C$42)</f>
        <v/>
      </c>
      <c r="N9" s="16" t="n"/>
    </row>
    <row r="10">
      <c r="A10" s="5" t="inlineStr">
        <is>
          <t>LTV (lifetime gross profit)</t>
        </is>
      </c>
      <c r="B10" s="32">
        <f>B8*B9</f>
        <v/>
      </c>
      <c r="C10" s="32">
        <f>C8*C9</f>
        <v/>
      </c>
      <c r="D10" s="32">
        <f>D8*D9</f>
        <v/>
      </c>
      <c r="E10" s="32">
        <f>E8*E9</f>
        <v/>
      </c>
      <c r="F10" s="32">
        <f>F8*F9</f>
        <v/>
      </c>
      <c r="G10" s="32">
        <f>G8*G9</f>
        <v/>
      </c>
      <c r="H10" s="32">
        <f>H8*H9</f>
        <v/>
      </c>
      <c r="I10" s="32">
        <f>I8*I9</f>
        <v/>
      </c>
      <c r="J10" s="32">
        <f>J8*J9</f>
        <v/>
      </c>
      <c r="K10" s="32">
        <f>K8*K9</f>
        <v/>
      </c>
      <c r="L10" s="32">
        <f>L8*L9</f>
        <v/>
      </c>
      <c r="M10" s="32">
        <f>M8*M9</f>
        <v/>
      </c>
      <c r="N10" s="32" t="n"/>
    </row>
    <row r="11">
      <c r="A11" s="23" t="inlineStr">
        <is>
          <t>Blended CAC, all channels</t>
        </is>
      </c>
      <c r="B11" s="33">
        <f>IFERROR('Income Statement'!B29/'Users &amp; Growth'!B12,"")</f>
        <v/>
      </c>
      <c r="C11" s="33">
        <f>IFERROR('Income Statement'!C29/'Users &amp; Growth'!C12,"")</f>
        <v/>
      </c>
      <c r="D11" s="33">
        <f>IFERROR('Income Statement'!D29/'Users &amp; Growth'!D12,"")</f>
        <v/>
      </c>
      <c r="E11" s="33">
        <f>IFERROR('Income Statement'!E29/'Users &amp; Growth'!E12,"")</f>
        <v/>
      </c>
      <c r="F11" s="33">
        <f>IFERROR('Income Statement'!F29/'Users &amp; Growth'!F12,"")</f>
        <v/>
      </c>
      <c r="G11" s="33">
        <f>IFERROR('Income Statement'!G29/'Users &amp; Growth'!G12,"")</f>
        <v/>
      </c>
      <c r="H11" s="33">
        <f>IFERROR('Income Statement'!H29/'Users &amp; Growth'!H12,"")</f>
        <v/>
      </c>
      <c r="I11" s="33">
        <f>IFERROR('Income Statement'!I29/'Users &amp; Growth'!I12,"")</f>
        <v/>
      </c>
      <c r="J11" s="33">
        <f>IFERROR('Income Statement'!J29/'Users &amp; Growth'!J12,"")</f>
        <v/>
      </c>
      <c r="K11" s="33">
        <f>IFERROR('Income Statement'!K29/'Users &amp; Growth'!K12,"")</f>
        <v/>
      </c>
      <c r="L11" s="33">
        <f>IFERROR('Income Statement'!L29/'Users &amp; Growth'!L12,"")</f>
        <v/>
      </c>
      <c r="M11" s="33">
        <f>IFERROR('Income Statement'!M29/'Users &amp; Growth'!M12,"")</f>
        <v/>
      </c>
      <c r="N11" s="33" t="n"/>
    </row>
    <row r="12">
      <c r="A12" s="34" t="inlineStr">
        <is>
          <t xml:space="preserve">  generic paid</t>
        </is>
      </c>
      <c r="B12" s="31">
        <f>IFERROR('Income Statement'!B26/'Users &amp; Growth'!B12,"")</f>
        <v/>
      </c>
      <c r="C12" s="31">
        <f>IFERROR('Income Statement'!C26/'Users &amp; Growth'!C12,"")</f>
        <v/>
      </c>
      <c r="D12" s="31">
        <f>IFERROR('Income Statement'!D26/'Users &amp; Growth'!D12,"")</f>
        <v/>
      </c>
      <c r="E12" s="31">
        <f>IFERROR('Income Statement'!E26/'Users &amp; Growth'!E12,"")</f>
        <v/>
      </c>
      <c r="F12" s="31">
        <f>IFERROR('Income Statement'!F26/'Users &amp; Growth'!F12,"")</f>
        <v/>
      </c>
      <c r="G12" s="31">
        <f>IFERROR('Income Statement'!G26/'Users &amp; Growth'!G12,"")</f>
        <v/>
      </c>
      <c r="H12" s="31">
        <f>IFERROR('Income Statement'!H26/'Users &amp; Growth'!H12,"")</f>
        <v/>
      </c>
      <c r="I12" s="31">
        <f>IFERROR('Income Statement'!I26/'Users &amp; Growth'!I12,"")</f>
        <v/>
      </c>
      <c r="J12" s="31">
        <f>IFERROR('Income Statement'!J26/'Users &amp; Growth'!J12,"")</f>
        <v/>
      </c>
      <c r="K12" s="31">
        <f>IFERROR('Income Statement'!K26/'Users &amp; Growth'!K12,"")</f>
        <v/>
      </c>
      <c r="L12" s="31">
        <f>IFERROR('Income Statement'!L26/'Users &amp; Growth'!L12,"")</f>
        <v/>
      </c>
      <c r="M12" s="31">
        <f>IFERROR('Income Statement'!M26/'Users &amp; Growth'!M12,"")</f>
        <v/>
      </c>
      <c r="N12" s="31" t="n"/>
    </row>
    <row r="13">
      <c r="A13" s="34" t="inlineStr">
        <is>
          <t xml:space="preserve">  creator partnerships</t>
        </is>
      </c>
      <c r="B13" s="31">
        <f>IFERROR('Income Statement'!B27/'Users &amp; Growth'!B12,"")</f>
        <v/>
      </c>
      <c r="C13" s="31">
        <f>IFERROR('Income Statement'!C27/'Users &amp; Growth'!C12,"")</f>
        <v/>
      </c>
      <c r="D13" s="31">
        <f>IFERROR('Income Statement'!D27/'Users &amp; Growth'!D12,"")</f>
        <v/>
      </c>
      <c r="E13" s="31">
        <f>IFERROR('Income Statement'!E27/'Users &amp; Growth'!E12,"")</f>
        <v/>
      </c>
      <c r="F13" s="31">
        <f>IFERROR('Income Statement'!F27/'Users &amp; Growth'!F12,"")</f>
        <v/>
      </c>
      <c r="G13" s="31">
        <f>IFERROR('Income Statement'!G27/'Users &amp; Growth'!G12,"")</f>
        <v/>
      </c>
      <c r="H13" s="31">
        <f>IFERROR('Income Statement'!H27/'Users &amp; Growth'!H12,"")</f>
        <v/>
      </c>
      <c r="I13" s="31">
        <f>IFERROR('Income Statement'!I27/'Users &amp; Growth'!I12,"")</f>
        <v/>
      </c>
      <c r="J13" s="31">
        <f>IFERROR('Income Statement'!J27/'Users &amp; Growth'!J12,"")</f>
        <v/>
      </c>
      <c r="K13" s="31">
        <f>IFERROR('Income Statement'!K27/'Users &amp; Growth'!K12,"")</f>
        <v/>
      </c>
      <c r="L13" s="31">
        <f>IFERROR('Income Statement'!L27/'Users &amp; Growth'!L12,"")</f>
        <v/>
      </c>
      <c r="M13" s="31">
        <f>IFERROR('Income Statement'!M27/'Users &amp; Growth'!M12,"")</f>
        <v/>
      </c>
      <c r="N13" s="31" t="n"/>
    </row>
    <row r="14">
      <c r="A14" s="34" t="inlineStr">
        <is>
          <t xml:space="preserve">  host sponsorship</t>
        </is>
      </c>
      <c r="B14" s="31">
        <f>IFERROR('Income Statement'!B28/'Users &amp; Growth'!B12,"")</f>
        <v/>
      </c>
      <c r="C14" s="31">
        <f>IFERROR('Income Statement'!C28/'Users &amp; Growth'!C12,"")</f>
        <v/>
      </c>
      <c r="D14" s="31">
        <f>IFERROR('Income Statement'!D28/'Users &amp; Growth'!D12,"")</f>
        <v/>
      </c>
      <c r="E14" s="31">
        <f>IFERROR('Income Statement'!E28/'Users &amp; Growth'!E12,"")</f>
        <v/>
      </c>
      <c r="F14" s="31">
        <f>IFERROR('Income Statement'!F28/'Users &amp; Growth'!F12,"")</f>
        <v/>
      </c>
      <c r="G14" s="31">
        <f>IFERROR('Income Statement'!G28/'Users &amp; Growth'!G12,"")</f>
        <v/>
      </c>
      <c r="H14" s="31">
        <f>IFERROR('Income Statement'!H28/'Users &amp; Growth'!H12,"")</f>
        <v/>
      </c>
      <c r="I14" s="31">
        <f>IFERROR('Income Statement'!I28/'Users &amp; Growth'!I12,"")</f>
        <v/>
      </c>
      <c r="J14" s="31">
        <f>IFERROR('Income Statement'!J28/'Users &amp; Growth'!J12,"")</f>
        <v/>
      </c>
      <c r="K14" s="31">
        <f>IFERROR('Income Statement'!K28/'Users &amp; Growth'!K12,"")</f>
        <v/>
      </c>
      <c r="L14" s="31">
        <f>IFERROR('Income Statement'!L28/'Users &amp; Growth'!L12,"")</f>
        <v/>
      </c>
      <c r="M14" s="31">
        <f>IFERROR('Income Statement'!M28/'Users &amp; Growth'!M12,"")</f>
        <v/>
      </c>
      <c r="N14" s="31" t="n"/>
    </row>
    <row r="15">
      <c r="A15" s="23" t="inlineStr">
        <is>
          <t>LTV : CAC (activation-adjusted)</t>
        </is>
      </c>
      <c r="B15" s="35">
        <f>IFERROR(B10*IF(B$4&gt;=Assumptions!$C$90,Assumptions!$C$91,Assumptions!$C$43)/B11,"")</f>
        <v/>
      </c>
      <c r="C15" s="35">
        <f>IFERROR(C10*IF(C$4&gt;=Assumptions!$C$90,Assumptions!$C$91,Assumptions!$C$43)/C11,"")</f>
        <v/>
      </c>
      <c r="D15" s="35">
        <f>IFERROR(D10*IF(D$4&gt;=Assumptions!$C$90,Assumptions!$C$91,Assumptions!$C$43)/D11,"")</f>
        <v/>
      </c>
      <c r="E15" s="35">
        <f>IFERROR(E10*IF(E$4&gt;=Assumptions!$C$90,Assumptions!$C$91,Assumptions!$C$43)/E11,"")</f>
        <v/>
      </c>
      <c r="F15" s="35">
        <f>IFERROR(F10*IF(F$4&gt;=Assumptions!$C$90,Assumptions!$C$91,Assumptions!$C$43)/F11,"")</f>
        <v/>
      </c>
      <c r="G15" s="35">
        <f>IFERROR(G10*IF(G$4&gt;=Assumptions!$C$90,Assumptions!$C$91,Assumptions!$C$43)/G11,"")</f>
        <v/>
      </c>
      <c r="H15" s="35">
        <f>IFERROR(H10*IF(H$4&gt;=Assumptions!$C$90,Assumptions!$C$91,Assumptions!$C$43)/H11,"")</f>
        <v/>
      </c>
      <c r="I15" s="35">
        <f>IFERROR(I10*IF(I$4&gt;=Assumptions!$C$90,Assumptions!$C$91,Assumptions!$C$43)/I11,"")</f>
        <v/>
      </c>
      <c r="J15" s="35">
        <f>IFERROR(J10*IF(J$4&gt;=Assumptions!$C$90,Assumptions!$C$91,Assumptions!$C$43)/J11,"")</f>
        <v/>
      </c>
      <c r="K15" s="35">
        <f>IFERROR(K10*IF(K$4&gt;=Assumptions!$C$90,Assumptions!$C$91,Assumptions!$C$43)/K11,"")</f>
        <v/>
      </c>
      <c r="L15" s="35">
        <f>IFERROR(L10*IF(L$4&gt;=Assumptions!$C$90,Assumptions!$C$91,Assumptions!$C$43)/L11,"")</f>
        <v/>
      </c>
      <c r="M15" s="35">
        <f>IFERROR(M10*IF(M$4&gt;=Assumptions!$C$90,Assumptions!$C$91,Assumptions!$C$43)/M11,"")</f>
        <v/>
      </c>
      <c r="N15" s="35" t="n"/>
    </row>
    <row r="16">
      <c r="A16" s="5" t="inlineStr">
        <is>
          <t>CAC payback, months (activation-adj)</t>
        </is>
      </c>
      <c r="B16" s="16">
        <f>IFERROR(B11/(B8*IF(B$4&gt;=Assumptions!$C$90,Assumptions!$C$91,Assumptions!$C$43)),"")</f>
        <v/>
      </c>
      <c r="C16" s="16">
        <f>IFERROR(C11/(C8*IF(C$4&gt;=Assumptions!$C$90,Assumptions!$C$91,Assumptions!$C$43)),"")</f>
        <v/>
      </c>
      <c r="D16" s="16">
        <f>IFERROR(D11/(D8*IF(D$4&gt;=Assumptions!$C$90,Assumptions!$C$91,Assumptions!$C$43)),"")</f>
        <v/>
      </c>
      <c r="E16" s="16">
        <f>IFERROR(E11/(E8*IF(E$4&gt;=Assumptions!$C$90,Assumptions!$C$91,Assumptions!$C$43)),"")</f>
        <v/>
      </c>
      <c r="F16" s="16">
        <f>IFERROR(F11/(F8*IF(F$4&gt;=Assumptions!$C$90,Assumptions!$C$91,Assumptions!$C$43)),"")</f>
        <v/>
      </c>
      <c r="G16" s="16">
        <f>IFERROR(G11/(G8*IF(G$4&gt;=Assumptions!$C$90,Assumptions!$C$91,Assumptions!$C$43)),"")</f>
        <v/>
      </c>
      <c r="H16" s="16">
        <f>IFERROR(H11/(H8*IF(H$4&gt;=Assumptions!$C$90,Assumptions!$C$91,Assumptions!$C$43)),"")</f>
        <v/>
      </c>
      <c r="I16" s="16">
        <f>IFERROR(I11/(I8*IF(I$4&gt;=Assumptions!$C$90,Assumptions!$C$91,Assumptions!$C$43)),"")</f>
        <v/>
      </c>
      <c r="J16" s="16">
        <f>IFERROR(J11/(J8*IF(J$4&gt;=Assumptions!$C$90,Assumptions!$C$91,Assumptions!$C$43)),"")</f>
        <v/>
      </c>
      <c r="K16" s="16">
        <f>IFERROR(K11/(K8*IF(K$4&gt;=Assumptions!$C$90,Assumptions!$C$91,Assumptions!$C$43)),"")</f>
        <v/>
      </c>
      <c r="L16" s="16">
        <f>IFERROR(L11/(L8*IF(L$4&gt;=Assumptions!$C$90,Assumptions!$C$91,Assumptions!$C$43)),"")</f>
        <v/>
      </c>
      <c r="M16" s="16">
        <f>IFERROR(M11/(M8*IF(M$4&gt;=Assumptions!$C$90,Assumptions!$C$91,Assumptions!$C$43)),"")</f>
        <v/>
      </c>
      <c r="N16" s="16" t="n"/>
    </row>
    <row r="18">
      <c r="A18" s="3" t="inlineStr">
        <is>
          <t>Acquisition channel comparison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7" t="inlineStr">
        <is>
          <t>Creator deal: cost / signup (pre-verification)</t>
        </is>
      </c>
      <c r="B19" s="32">
        <f>Assumptions!$C$29/Assumptions!$C$30</f>
        <v/>
      </c>
      <c r="C19" s="32">
        <f>Assumptions!$C$29/Assumptions!$C$30</f>
        <v/>
      </c>
      <c r="D19" s="32">
        <f>Assumptions!$C$29/Assumptions!$C$30</f>
        <v/>
      </c>
      <c r="E19" s="32">
        <f>Assumptions!$C$29/Assumptions!$C$30</f>
        <v/>
      </c>
      <c r="F19" s="32">
        <f>Assumptions!$C$29/Assumptions!$C$30</f>
        <v/>
      </c>
      <c r="G19" s="32">
        <f>Assumptions!$C$29/Assumptions!$C$30</f>
        <v/>
      </c>
      <c r="H19" s="32">
        <f>Assumptions!$C$29/Assumptions!$C$30</f>
        <v/>
      </c>
      <c r="I19" s="32">
        <f>Assumptions!$C$29/Assumptions!$C$30</f>
        <v/>
      </c>
      <c r="J19" s="32">
        <f>Assumptions!$C$29/Assumptions!$C$30</f>
        <v/>
      </c>
      <c r="K19" s="32">
        <f>Assumptions!$C$29/Assumptions!$C$30</f>
        <v/>
      </c>
      <c r="L19" s="32">
        <f>Assumptions!$C$29/Assumptions!$C$30</f>
        <v/>
      </c>
      <c r="M19" s="32">
        <f>Assumptions!$C$29/Assumptions!$C$30</f>
        <v/>
      </c>
      <c r="N19" s="32" t="n"/>
    </row>
    <row r="20">
      <c r="A20" s="17" t="inlineStr">
        <is>
          <t>Sponsored event: cost / signup (pre-verification)</t>
        </is>
      </c>
      <c r="B20" s="32">
        <f>Assumptions!$C$38/Assumptions!$C$39</f>
        <v/>
      </c>
      <c r="C20" s="32">
        <f>Assumptions!$C$38/Assumptions!$C$39</f>
        <v/>
      </c>
      <c r="D20" s="32">
        <f>Assumptions!$C$38/Assumptions!$C$39</f>
        <v/>
      </c>
      <c r="E20" s="32">
        <f>Assumptions!$C$38/Assumptions!$C$39</f>
        <v/>
      </c>
      <c r="F20" s="32">
        <f>Assumptions!$C$38/Assumptions!$C$39</f>
        <v/>
      </c>
      <c r="G20" s="32">
        <f>Assumptions!$C$38/Assumptions!$C$39</f>
        <v/>
      </c>
      <c r="H20" s="32">
        <f>Assumptions!$C$38/Assumptions!$C$39</f>
        <v/>
      </c>
      <c r="I20" s="32">
        <f>Assumptions!$C$38/Assumptions!$C$39</f>
        <v/>
      </c>
      <c r="J20" s="32">
        <f>Assumptions!$C$38/Assumptions!$C$39</f>
        <v/>
      </c>
      <c r="K20" s="32">
        <f>Assumptions!$C$38/Assumptions!$C$39</f>
        <v/>
      </c>
      <c r="L20" s="32">
        <f>Assumptions!$C$38/Assumptions!$C$39</f>
        <v/>
      </c>
      <c r="M20" s="32">
        <f>Assumptions!$C$38/Assumptions!$C$39</f>
        <v/>
      </c>
      <c r="N20" s="32" t="n"/>
    </row>
    <row r="22">
      <c r="A22" s="3" t="inlineStr">
        <is>
          <t>Break-even analysis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Fixed costs / month</t>
        </is>
      </c>
      <c r="B23" s="22">
        <f>'Income Statement'!B23+'Income Statement'!B29+'Income Statement'!B32</f>
        <v/>
      </c>
      <c r="C23" s="22">
        <f>'Income Statement'!C23+'Income Statement'!C29+'Income Statement'!C32</f>
        <v/>
      </c>
      <c r="D23" s="22">
        <f>'Income Statement'!D23+'Income Statement'!D29+'Income Statement'!D32</f>
        <v/>
      </c>
      <c r="E23" s="22">
        <f>'Income Statement'!E23+'Income Statement'!E29+'Income Statement'!E32</f>
        <v/>
      </c>
      <c r="F23" s="22">
        <f>'Income Statement'!F23+'Income Statement'!F29+'Income Statement'!F32</f>
        <v/>
      </c>
      <c r="G23" s="22">
        <f>'Income Statement'!G23+'Income Statement'!G29+'Income Statement'!G32</f>
        <v/>
      </c>
      <c r="H23" s="22">
        <f>'Income Statement'!H23+'Income Statement'!H29+'Income Statement'!H32</f>
        <v/>
      </c>
      <c r="I23" s="22">
        <f>'Income Statement'!I23+'Income Statement'!I29+'Income Statement'!I32</f>
        <v/>
      </c>
      <c r="J23" s="22">
        <f>'Income Statement'!J23+'Income Statement'!J29+'Income Statement'!J32</f>
        <v/>
      </c>
      <c r="K23" s="22">
        <f>'Income Statement'!K23+'Income Statement'!K29+'Income Statement'!K32</f>
        <v/>
      </c>
      <c r="L23" s="22">
        <f>'Income Statement'!L23+'Income Statement'!L29+'Income Statement'!L32</f>
        <v/>
      </c>
      <c r="M23" s="22">
        <f>'Income Statement'!M23+'Income Statement'!M29+'Income Statement'!M32</f>
        <v/>
      </c>
      <c r="N23" s="22" t="n"/>
    </row>
    <row r="24">
      <c r="A24" s="5" t="inlineStr">
        <is>
          <t>Contribution margin %</t>
        </is>
      </c>
      <c r="B24" s="36">
        <f>'Income Statement'!B15</f>
        <v/>
      </c>
      <c r="C24" s="36">
        <f>'Income Statement'!C15</f>
        <v/>
      </c>
      <c r="D24" s="36">
        <f>'Income Statement'!D15</f>
        <v/>
      </c>
      <c r="E24" s="36">
        <f>'Income Statement'!E15</f>
        <v/>
      </c>
      <c r="F24" s="36">
        <f>'Income Statement'!F15</f>
        <v/>
      </c>
      <c r="G24" s="36">
        <f>'Income Statement'!G15</f>
        <v/>
      </c>
      <c r="H24" s="36">
        <f>'Income Statement'!H15</f>
        <v/>
      </c>
      <c r="I24" s="36">
        <f>'Income Statement'!I15</f>
        <v/>
      </c>
      <c r="J24" s="36">
        <f>'Income Statement'!J15</f>
        <v/>
      </c>
      <c r="K24" s="36">
        <f>'Income Statement'!K15</f>
        <v/>
      </c>
      <c r="L24" s="36">
        <f>'Income Statement'!L15</f>
        <v/>
      </c>
      <c r="M24" s="36">
        <f>'Income Statement'!M15</f>
        <v/>
      </c>
      <c r="N24" s="36" t="n"/>
    </row>
    <row r="25">
      <c r="A25" s="23" t="inlineStr">
        <is>
          <t>Break-even revenue required</t>
        </is>
      </c>
      <c r="B25" s="24">
        <f>IFERROR(B23/B24,"")</f>
        <v/>
      </c>
      <c r="C25" s="24">
        <f>IFERROR(C23/C24,"")</f>
        <v/>
      </c>
      <c r="D25" s="24">
        <f>IFERROR(D23/D24,"")</f>
        <v/>
      </c>
      <c r="E25" s="24">
        <f>IFERROR(E23/E24,"")</f>
        <v/>
      </c>
      <c r="F25" s="24">
        <f>IFERROR(F23/F24,"")</f>
        <v/>
      </c>
      <c r="G25" s="24">
        <f>IFERROR(G23/G24,"")</f>
        <v/>
      </c>
      <c r="H25" s="24">
        <f>IFERROR(H23/H24,"")</f>
        <v/>
      </c>
      <c r="I25" s="24">
        <f>IFERROR(I23/I24,"")</f>
        <v/>
      </c>
      <c r="J25" s="24">
        <f>IFERROR(J23/J24,"")</f>
        <v/>
      </c>
      <c r="K25" s="24">
        <f>IFERROR(K23/K24,"")</f>
        <v/>
      </c>
      <c r="L25" s="24">
        <f>IFERROR(L23/L24,"")</f>
        <v/>
      </c>
      <c r="M25" s="24">
        <f>IFERROR(M23/M24,"")</f>
        <v/>
      </c>
      <c r="N25" s="24" t="n"/>
    </row>
    <row r="26">
      <c r="A26" s="5" t="inlineStr">
        <is>
          <t>Break-even active users required</t>
        </is>
      </c>
      <c r="B26" s="27">
        <f>IFERROR(B25/B7,"")</f>
        <v/>
      </c>
      <c r="C26" s="27">
        <f>IFERROR(C25/C7,"")</f>
        <v/>
      </c>
      <c r="D26" s="27">
        <f>IFERROR(D25/D7,"")</f>
        <v/>
      </c>
      <c r="E26" s="27">
        <f>IFERROR(E25/E7,"")</f>
        <v/>
      </c>
      <c r="F26" s="27">
        <f>IFERROR(F25/F7,"")</f>
        <v/>
      </c>
      <c r="G26" s="27">
        <f>IFERROR(G25/G7,"")</f>
        <v/>
      </c>
      <c r="H26" s="27">
        <f>IFERROR(H25/H7,"")</f>
        <v/>
      </c>
      <c r="I26" s="27">
        <f>IFERROR(I25/I7,"")</f>
        <v/>
      </c>
      <c r="J26" s="27">
        <f>IFERROR(J25/J7,"")</f>
        <v/>
      </c>
      <c r="K26" s="27">
        <f>IFERROR(K25/K7,"")</f>
        <v/>
      </c>
      <c r="L26" s="27">
        <f>IFERROR(L25/L7,"")</f>
        <v/>
      </c>
      <c r="M26" s="27">
        <f>IFERROR(M25/M7,"")</f>
        <v/>
      </c>
      <c r="N26" s="27" t="n"/>
    </row>
    <row r="27">
      <c r="A27" s="23" t="inlineStr">
        <is>
          <t>Revenue vs. break-even (gap)</t>
        </is>
      </c>
      <c r="B27" s="26">
        <f>'Income Statement'!B10-B25</f>
        <v/>
      </c>
      <c r="C27" s="26">
        <f>'Income Statement'!C10-C25</f>
        <v/>
      </c>
      <c r="D27" s="26">
        <f>'Income Statement'!D10-D25</f>
        <v/>
      </c>
      <c r="E27" s="26">
        <f>'Income Statement'!E10-E25</f>
        <v/>
      </c>
      <c r="F27" s="26">
        <f>'Income Statement'!F10-F25</f>
        <v/>
      </c>
      <c r="G27" s="26">
        <f>'Income Statement'!G10-G25</f>
        <v/>
      </c>
      <c r="H27" s="26">
        <f>'Income Statement'!H10-H25</f>
        <v/>
      </c>
      <c r="I27" s="26">
        <f>'Income Statement'!I10-I25</f>
        <v/>
      </c>
      <c r="J27" s="26">
        <f>'Income Statement'!J10-J25</f>
        <v/>
      </c>
      <c r="K27" s="26">
        <f>'Income Statement'!K10-K25</f>
        <v/>
      </c>
      <c r="L27" s="26">
        <f>'Income Statement'!L10-L25</f>
        <v/>
      </c>
      <c r="M27" s="26">
        <f>'Income Statement'!M10-M25</f>
        <v/>
      </c>
      <c r="N27" s="26" t="n"/>
    </row>
    <row r="28">
      <c r="A28" s="5" t="inlineStr">
        <is>
          <t>% of break-even achieved</t>
        </is>
      </c>
      <c r="B28" s="36">
        <f>IFERROR('Income Statement'!B10/B25,"")</f>
        <v/>
      </c>
      <c r="C28" s="36">
        <f>IFERROR('Income Statement'!C10/C25,"")</f>
        <v/>
      </c>
      <c r="D28" s="36">
        <f>IFERROR('Income Statement'!D10/D25,"")</f>
        <v/>
      </c>
      <c r="E28" s="36">
        <f>IFERROR('Income Statement'!E10/E25,"")</f>
        <v/>
      </c>
      <c r="F28" s="36">
        <f>IFERROR('Income Statement'!F10/F25,"")</f>
        <v/>
      </c>
      <c r="G28" s="36">
        <f>IFERROR('Income Statement'!G10/G25,"")</f>
        <v/>
      </c>
      <c r="H28" s="36">
        <f>IFERROR('Income Statement'!H10/H25,"")</f>
        <v/>
      </c>
      <c r="I28" s="36">
        <f>IFERROR('Income Statement'!I10/I25,"")</f>
        <v/>
      </c>
      <c r="J28" s="36">
        <f>IFERROR('Income Statement'!J10/J25,"")</f>
        <v/>
      </c>
      <c r="K28" s="36">
        <f>IFERROR('Income Statement'!K10/K25,"")</f>
        <v/>
      </c>
      <c r="L28" s="36">
        <f>IFERROR('Income Statement'!L10/L25,"")</f>
        <v/>
      </c>
      <c r="M28" s="36">
        <f>IFERROR('Income Statement'!M10/M25,"")</f>
        <v/>
      </c>
      <c r="N28" s="3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15" customWidth="1" min="3" max="3"/>
  </cols>
  <sheetData>
    <row r="1" ht="16" customHeight="1">
      <c r="A1" s="1" t="inlineStr">
        <is>
          <t>Financial Ratios &amp; Key Metrics</t>
        </is>
      </c>
    </row>
    <row r="2">
      <c r="A2" s="2" t="inlineStr">
        <is>
          <t>Year 1 summary. Every figure links back to the detail sheets.</t>
        </is>
      </c>
    </row>
    <row r="4">
      <c r="A4" s="3" t="inlineStr">
        <is>
          <t>Scale — Month 12 vs Month 0</t>
        </is>
      </c>
      <c r="B4" s="4" t="n"/>
      <c r="C4" s="4" t="n"/>
    </row>
    <row r="5">
      <c r="A5" s="37" t="inlineStr">
        <is>
          <t>Verified users, Month 0</t>
        </is>
      </c>
      <c r="C5" s="38">
        <f>Assumptions!$C$11</f>
        <v/>
      </c>
    </row>
    <row r="6">
      <c r="A6" s="37" t="inlineStr">
        <is>
          <t>Verified users, Month 12 (cumulative)</t>
        </is>
      </c>
      <c r="C6" s="38">
        <f>'Users &amp; Growth'!M13</f>
        <v/>
      </c>
    </row>
    <row r="7">
      <c r="A7" s="37" t="inlineStr">
        <is>
          <t>Active users, Month 0</t>
        </is>
      </c>
      <c r="C7" s="38">
        <f>Assumptions!$C$13</f>
        <v/>
      </c>
    </row>
    <row r="8">
      <c r="A8" s="37" t="inlineStr">
        <is>
          <t>Active users, Month 12</t>
        </is>
      </c>
      <c r="C8" s="38">
        <f>'Users &amp; Growth'!M16</f>
        <v/>
      </c>
    </row>
    <row r="10">
      <c r="A10" s="3" t="inlineStr">
        <is>
          <t>Revenue</t>
        </is>
      </c>
      <c r="B10" s="4" t="n"/>
      <c r="C10" s="4" t="n"/>
    </row>
    <row r="11">
      <c r="A11" s="37" t="inlineStr">
        <is>
          <t>Year 1 Total Revenue</t>
        </is>
      </c>
      <c r="C11" s="39">
        <f>'Income Statement'!N10</f>
        <v/>
      </c>
    </row>
    <row r="12">
      <c r="A12" s="37" t="inlineStr">
        <is>
          <t>Month 1 Revenue</t>
        </is>
      </c>
      <c r="C12" s="39">
        <f>'Income Statement'!B10</f>
        <v/>
      </c>
    </row>
    <row r="13">
      <c r="A13" s="37" t="inlineStr">
        <is>
          <t>Month 12 Revenue</t>
        </is>
      </c>
      <c r="C13" s="39">
        <f>'Income Statement'!M10</f>
        <v/>
      </c>
    </row>
    <row r="14">
      <c r="A14" s="37" t="inlineStr">
        <is>
          <t>Revenue growth, Month 12 vs 1</t>
        </is>
      </c>
      <c r="C14" s="40">
        <f>IFERROR('Income Statement'!M10/'Income Statement'!B10,"")</f>
        <v/>
      </c>
    </row>
    <row r="15">
      <c r="A15" s="37" t="inlineStr">
        <is>
          <t>Month 12 Gross Margin %</t>
        </is>
      </c>
      <c r="C15" s="41">
        <f>'Income Statement'!M15</f>
        <v/>
      </c>
    </row>
    <row r="17">
      <c r="A17" s="3" t="inlineStr">
        <is>
          <t>Acquisition spend — Year 1 split by channel</t>
        </is>
      </c>
      <c r="B17" s="4" t="n"/>
      <c r="C17" s="4" t="n"/>
    </row>
    <row r="18">
      <c r="A18" s="37" t="inlineStr">
        <is>
          <t>Generic paid ads/ambassadors</t>
        </is>
      </c>
      <c r="C18" s="39">
        <f>'Income Statement'!N26</f>
        <v/>
      </c>
    </row>
    <row r="19">
      <c r="A19" s="37" t="inlineStr">
        <is>
          <t>Creator partnerships</t>
        </is>
      </c>
      <c r="C19" s="39">
        <f>'Income Statement'!N27</f>
        <v/>
      </c>
    </row>
    <row r="20">
      <c r="A20" s="37" t="inlineStr">
        <is>
          <t>r/girlshangouthyd host sponsorship</t>
        </is>
      </c>
      <c r="C20" s="39">
        <f>'Income Statement'!N28</f>
        <v/>
      </c>
    </row>
    <row r="21">
      <c r="A21" s="23" t="inlineStr">
        <is>
          <t>Total acquisition spend, Year 1</t>
        </is>
      </c>
      <c r="C21" s="42">
        <f>'Income Statement'!N29</f>
        <v/>
      </c>
    </row>
    <row r="23">
      <c r="A23" s="3" t="inlineStr">
        <is>
          <t>Burn &amp; funding</t>
        </is>
      </c>
      <c r="B23" s="4" t="n"/>
      <c r="C23" s="4" t="n"/>
    </row>
    <row r="24">
      <c r="A24" s="37" t="inlineStr">
        <is>
          <t>Year 1 Total Operating Expenses</t>
        </is>
      </c>
      <c r="C24" s="39">
        <f>'Income Statement'!N34</f>
        <v/>
      </c>
    </row>
    <row r="25">
      <c r="A25" s="37" t="inlineStr">
        <is>
          <t>Year 1 Net Loss</t>
        </is>
      </c>
      <c r="C25" s="39">
        <f>'Income Statement'!N45</f>
        <v/>
      </c>
    </row>
    <row r="26">
      <c r="A26" s="37" t="inlineStr">
        <is>
          <t>Average monthly burn, Year 1</t>
        </is>
      </c>
      <c r="C26" s="39">
        <f>ABS('Income Statement'!N45)/12</f>
        <v/>
      </c>
    </row>
    <row r="27">
      <c r="A27" s="37" t="inlineStr">
        <is>
          <t>Month 12 monthly burn rate</t>
        </is>
      </c>
      <c r="C27" s="39">
        <f>-'Income Statement'!M45</f>
        <v/>
      </c>
    </row>
    <row r="28">
      <c r="A28" s="23" t="inlineStr">
        <is>
          <t>Founder funding required through Month 12</t>
        </is>
      </c>
      <c r="C28" s="42">
        <f>'Balance Sheet'!M14</f>
        <v/>
      </c>
    </row>
    <row r="29">
      <c r="A29" s="37" t="inlineStr">
        <is>
          <t>Burn multiple, Year 1</t>
        </is>
      </c>
      <c r="C29" s="40">
        <f>IFERROR(ABS('Income Statement'!N45)/'Income Statement'!N10,"")</f>
        <v/>
      </c>
    </row>
    <row r="31">
      <c r="A31" s="3" t="inlineStr">
        <is>
          <t>Unit economics — Month 12 read</t>
        </is>
      </c>
      <c r="B31" s="4" t="n"/>
      <c r="C31" s="4" t="n"/>
    </row>
    <row r="32">
      <c r="A32" s="37" t="inlineStr">
        <is>
          <t>LTV</t>
        </is>
      </c>
      <c r="C32" s="39">
        <f>'Unit Economics &amp; Break-Even'!M10</f>
        <v/>
      </c>
    </row>
    <row r="33">
      <c r="A33" s="37" t="inlineStr">
        <is>
          <t>Blended CAC, all channels</t>
        </is>
      </c>
      <c r="C33" s="39">
        <f>'Unit Economics &amp; Break-Even'!M11</f>
        <v/>
      </c>
    </row>
    <row r="34">
      <c r="A34" s="37" t="inlineStr">
        <is>
          <t>LTV : CAC (activation-adj)</t>
        </is>
      </c>
      <c r="C34" s="40">
        <f>'Unit Economics &amp; Break-Even'!M15</f>
        <v/>
      </c>
    </row>
    <row r="35">
      <c r="A35" s="37" t="inlineStr">
        <is>
          <t>CAC payback, months</t>
        </is>
      </c>
      <c r="C35" s="43">
        <f>'Unit Economics &amp; Break-Even'!M16</f>
        <v/>
      </c>
    </row>
    <row r="36">
      <c r="A36" s="37" t="inlineStr">
        <is>
          <t>Cost/signup, creator deal</t>
        </is>
      </c>
      <c r="C36" s="44">
        <f>'Unit Economics &amp; Break-Even'!M19</f>
        <v/>
      </c>
    </row>
    <row r="37">
      <c r="A37" s="37" t="inlineStr">
        <is>
          <t>Cost/signup, sponsored event</t>
        </is>
      </c>
      <c r="C37" s="44">
        <f>'Unit Economics &amp; Break-Even'!M20</f>
        <v/>
      </c>
    </row>
    <row r="39">
      <c r="A39" s="3" t="inlineStr">
        <is>
          <t>Break-even</t>
        </is>
      </c>
      <c r="B39" s="4" t="n"/>
      <c r="C39" s="4" t="n"/>
    </row>
    <row r="40">
      <c r="A40" s="37" t="inlineStr">
        <is>
          <t>First cash-flow-positive month</t>
        </is>
      </c>
      <c r="C40" s="45">
        <f>IFERROR(INDEX('Income Statement'!B4:M4,MATCH(1,'Income Statement'!B47:M47,0)),"Not reached within Month 12")</f>
        <v/>
      </c>
    </row>
    <row r="41">
      <c r="A41" s="37" t="inlineStr">
        <is>
          <t>Break-even active users, Month 12</t>
        </is>
      </c>
      <c r="C41" s="38">
        <f>'Unit Economics &amp; Break-Even'!M26</f>
        <v/>
      </c>
    </row>
    <row r="42">
      <c r="A42" s="37" t="inlineStr">
        <is>
          <t>Actual active users, Month 12</t>
        </is>
      </c>
      <c r="C42" s="38">
        <f>'Users &amp; Growth'!M16</f>
        <v/>
      </c>
    </row>
    <row r="44">
      <c r="A44" s="3" t="inlineStr">
        <is>
          <t>Team efficiency</t>
        </is>
      </c>
      <c r="B44" s="4" t="n"/>
      <c r="C44" s="4" t="n"/>
    </row>
    <row r="45">
      <c r="A45" s="37" t="inlineStr">
        <is>
          <t>Paid headcount, Month 12</t>
        </is>
      </c>
      <c r="C45" s="38">
        <f>5</f>
        <v/>
      </c>
    </row>
    <row r="46">
      <c r="A46" s="37" t="inlineStr">
        <is>
          <t>Revenue / paid employee, Month 12 (monthly)</t>
        </is>
      </c>
      <c r="C46" s="39">
        <f>'Income Statement'!M10/5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16" customHeight="1">
      <c r="A1" s="1" t="inlineStr">
        <is>
          <t>Cap Table</t>
        </is>
      </c>
    </row>
    <row r="2">
      <c r="A2" s="2" t="inlineStr">
        <is>
          <t>Pre-money. The pre-seed round in conversations is not yet reflected here.</t>
        </is>
      </c>
    </row>
    <row r="4">
      <c r="A4" s="46" t="inlineStr">
        <is>
          <t>Holder</t>
        </is>
      </c>
      <c r="B4" s="46" t="inlineStr">
        <is>
          <t>Equity %</t>
        </is>
      </c>
    </row>
    <row r="5">
      <c r="A5" s="5" t="inlineStr">
        <is>
          <t>Founder 1</t>
        </is>
      </c>
      <c r="B5" s="21">
        <f>Assumptions!$C$86</f>
        <v/>
      </c>
    </row>
    <row r="6">
      <c r="A6" s="5" t="inlineStr">
        <is>
          <t>Founder 2</t>
        </is>
      </c>
      <c r="B6" s="21">
        <f>Assumptions!$C$86</f>
        <v/>
      </c>
    </row>
    <row r="7">
      <c r="A7" s="5" t="inlineStr">
        <is>
          <t>Founder 3</t>
        </is>
      </c>
      <c r="B7" s="21">
        <f>Assumptions!$C$86</f>
        <v/>
      </c>
    </row>
    <row r="8">
      <c r="A8" s="5" t="inlineStr">
        <is>
          <t>Founder 4</t>
        </is>
      </c>
      <c r="B8" s="21">
        <f>Assumptions!$C$86</f>
        <v/>
      </c>
    </row>
    <row r="9">
      <c r="A9" s="5" t="inlineStr">
        <is>
          <t>Founder 5</t>
        </is>
      </c>
      <c r="B9" s="21">
        <f>Assumptions!$C$86</f>
        <v/>
      </c>
    </row>
    <row r="10">
      <c r="A10" s="5" t="inlineStr">
        <is>
          <t>ESOP pool (unallocated)</t>
        </is>
      </c>
      <c r="B10" s="21">
        <f>Assumptions!$C$85</f>
        <v/>
      </c>
    </row>
    <row r="11">
      <c r="A11" s="19" t="inlineStr">
        <is>
          <t>Total</t>
        </is>
      </c>
      <c r="B11" s="47">
        <f>SUM(B5:B10)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2026-06-21T20:55:21Z</dcterms:created>
  <dcterms:modified xsi:type="dcterms:W3CDTF">2026-07-01T10:40:18Z</dcterms:modified>
</cp:coreProperties>
</file>